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xtraction" sheetId="1" r:id="rId5"/>
    <sheet state="visible" name="Summary" sheetId="2" r:id="rId6"/>
  </sheets>
  <definedNames/>
  <calcPr/>
</workbook>
</file>

<file path=xl/sharedStrings.xml><?xml version="1.0" encoding="utf-8"?>
<sst xmlns="http://schemas.openxmlformats.org/spreadsheetml/2006/main" count="623" uniqueCount="613">
  <si>
    <t>Serial</t>
  </si>
  <si>
    <t>Paper Title</t>
  </si>
  <si>
    <t>Year</t>
  </si>
  <si>
    <t>Domain 1: Bias due to confounding (Baseline fairness &amp; experimental control)</t>
  </si>
  <si>
    <t>Domain 1 Overall Risk</t>
  </si>
  <si>
    <t>Domain 1 Risk</t>
  </si>
  <si>
    <t>Domain 1 Justification</t>
  </si>
  <si>
    <t>Domain 2: Bias in selection of datasets/workloads</t>
  </si>
  <si>
    <t>Domain 2 Overall Risk</t>
  </si>
  <si>
    <t>Domain 2 Risk</t>
  </si>
  <si>
    <t>Domain 2 Justification</t>
  </si>
  <si>
    <t>Domain 3: Bias in implementation of methods</t>
  </si>
  <si>
    <t>Domain 3 Overall Risk</t>
  </si>
  <si>
    <t>Domain 3 Risk</t>
  </si>
  <si>
    <t>Domain 3 Justification</t>
  </si>
  <si>
    <t>Domain 4: Bias in experimental execution</t>
  </si>
  <si>
    <t>Domain 4 Overall Risk</t>
  </si>
  <si>
    <t>Domain 4 Risk</t>
  </si>
  <si>
    <t>Domain 4 Justification</t>
  </si>
  <si>
    <t>Domain 5: Bias due to incomplete reporting</t>
  </si>
  <si>
    <t>Domain 5 Overall Risk</t>
  </si>
  <si>
    <t>Domain 5 Risk</t>
  </si>
  <si>
    <t>Domain 5 Justification</t>
  </si>
  <si>
    <t>Domain 6: Bias in performance measurement</t>
  </si>
  <si>
    <t>Domain 6 Overall Risk Score</t>
  </si>
  <si>
    <t>Domain 6 Risk Assessment</t>
  </si>
  <si>
    <t>Domain 6 Justification</t>
  </si>
  <si>
    <t>Domain 7: Bias in selective reporting</t>
  </si>
  <si>
    <t>Domain 7 Overall Risk</t>
  </si>
  <si>
    <t>Domain 7 Risk</t>
  </si>
  <si>
    <t>Domain 7 Justification</t>
  </si>
  <si>
    <t>Overall Risk Score</t>
  </si>
  <si>
    <t>Overall Risk Assessment</t>
  </si>
  <si>
    <t>Exclude from Review?</t>
  </si>
  <si>
    <t>D1Q1: Were baseline methods clearly described and fairly implemented?</t>
  </si>
  <si>
    <t>D1Q2: Were experiments conducted on same hardware with controlled resources?</t>
  </si>
  <si>
    <t>D1Q3: Were confounding factors adequately controlled or reported?</t>
  </si>
  <si>
    <t>D1Q4: Were dataset characteristics adequately described?</t>
  </si>
  <si>
    <t>D1Q5: Were hyperparameters optimized fairly across all methods?</t>
  </si>
  <si>
    <t>D2Q1: Were dataset selection criteria clearly described?</t>
  </si>
  <si>
    <t>D2Q2: Do datasets cover diverse distributions?</t>
  </si>
  <si>
    <t>D2Q3: Were diverse string characteristics tested?</t>
  </si>
  <si>
    <t>D2Q4: Were both synthetic and real-world datasets included?</t>
  </si>
  <si>
    <t>D2Q5: Were datasets selected without evidence of cherry-picking?</t>
  </si>
  <si>
    <t>D3Q1: Is the learned index implementation clearly described?</t>
  </si>
  <si>
    <t>D3Q2: Is source code publicly available or reproducible?</t>
  </si>
  <si>
    <t>D3Q3: Are baseline implementations from reputable sources?</t>
  </si>
  <si>
    <t>D3Q4: Were model architectures and training procedures described?</t>
  </si>
  <si>
    <t>D3Q5: Does implementation match intended design?</t>
  </si>
  <si>
    <t>D4Q1: Do reported experiments match methodology described?</t>
  </si>
  <si>
    <t>D4Q2: Are insert/update/delete patterns clearly specified?</t>
  </si>
  <si>
    <t>D4Q3: Are concurrency levels and thread interactions described?</t>
  </si>
  <si>
    <t>D4Q4: Are failure scenarios realistic and recovery tested?</t>
  </si>
  <si>
    <t>D4Q5: Were workload parameters clearly specified?</t>
  </si>
  <si>
    <t>D5Q1: Are all relevant metrics reported?</t>
  </si>
  <si>
    <t>D5Q2: Are negative results or failure cases discussed?</t>
  </si>
  <si>
    <t>D5Q3: Are limitations clearly acknowledged?</t>
  </si>
  <si>
    <t>D5Q4: Are results reported for all tested configurations?</t>
  </si>
  <si>
    <t>D5Q5: Are outliers or unexpected behaviors explained?</t>
  </si>
  <si>
    <t>D6Q1: Are performance measurement methodologies clearly described?</t>
  </si>
  <si>
    <t>D6Q2: Were multiple runs performed to account for variability?</t>
  </si>
  <si>
    <t>D6Q3: Are confidence intervals or error bars reported?</t>
  </si>
  <si>
    <t>D6Q4: Were warm-up periods used to eliminate cold-start effects?</t>
  </si>
  <si>
    <t>D6Q5: Are measurement overheads accounted for?</t>
  </si>
  <si>
    <t>D7Q1: Are results reported for all datasets mentioned?</t>
  </si>
  <si>
    <t>D7Q2: Are both favorable and unfavorable comparisons shown?</t>
  </si>
  <si>
    <t xml:space="preserve">D7Q3: Were results reported without evidence of p-hacking or selective reporting?
</t>
  </si>
  <si>
    <t>D7Q4: Are reproducibility materials publicly available?</t>
  </si>
  <si>
    <t>D7Q5: Were all promised experiments reported?</t>
  </si>
  <si>
    <t>Learned Indexes with Distribution Smoothing via Virtual Points.</t>
  </si>
  <si>
    <t>The study demonstrates a high degree of experimental control by utilizing a standardized hardware environment and a recognized evaluation framework. Fairness is maintained by selecting widely recognized SOTA baselines and providing a transparent description of the datasets' difficulty and distributions.</t>
  </si>
  <si>
    <t>The research utilizes a comprehensive suite of real-world and synthetic datasets that represent varying levels of learning difficulty. The authors' transparency regarding the exclusion of certain benchmarks reinforces the validity of their methodology by defining the specific scenarios where the proposed CSV technique is most relevant.</t>
  </si>
  <si>
    <t>The paper includes a complexity analysis that aligns with the experimental results regarding pre-processing time and scalability. Additionally, it uses a cost model to ensure that structural modifications (like node merging) align with the design goal of balancing traversal and search time.</t>
  </si>
  <si>
    <t>Workload parameters are explicitly detailed, including the use of 200 million keys per dataset, varying smoothing thresholds (α) from 0.05 to 0.8, and specific batch sizes for insertions. The distinction between "easy" and "hard" datasets provides clear context for interpreting different access patterns.</t>
  </si>
  <si>
    <t>The authors explain fluctuations in ALEX results as a byproduct of its runtime cost model. They also provide a clear explanation for performance drops in the OSM dataset during insertions, linking them to specific structural properties of the original index.</t>
  </si>
  <si>
    <t>While the experimental setup is documented and utilizes 25 repeated runs per query to ensure stable averages, the sources lack critical statistical details such as variance, error bars, or confidence intervals. Additionally, there is no explicit mention of warm-up phases or the mitigation of measurement overhead within the provided technical excerpts.</t>
  </si>
  <si>
    <t>The study avoids "cherry-picking" by reporting that the CSV method primarily benefits "promoted data" while leaving average performance for random data largely unchanged compared to the original indexes. Although certain datasets were omitted for ALEX because they were too simple for the smoothing technique to be relevant, the overall results follow a consistent and logically explained framework.</t>
  </si>
  <si>
    <t>Kanva: A Lock-free Learned Search Data Structure</t>
  </si>
  <si>
    <t>The study maintains a high level of experimental control by using a standardized hardware platform and a modern compiler environment for all compared methods. By including a "warm-up" period and accounting for memory reclamation overhead, the authors ensure that the comparisons are grounded in realistic system behaviors.</t>
  </si>
  <si>
    <t>The paper utilizes a robust suite of datasets that reflects both theoretical distributions and practical, real-world data patterns. The inclusion of skewed Zipfian distributions and varied hotspot ratios demonstrates a commitment to testing the data structure under challenging, high-contention conditions.</t>
  </si>
  <si>
    <t>The implementation of Kanva is thoroughly documented through both architectural diagrams and pseudocode for all core operations. By providing a public GitHub repository and detailed evaluations of different internal fitting schemes, the authors ensure the methodology is transparent and reproducible.</t>
  </si>
  <si>
    <t>Experimental execution follows a rigorous protocol using standardized benchmarks and a high-performance multi-core hardware environment. The use of various thread counts and clearly defined read/write ratios provides a comprehensive view of how the data structure handles high-contention scenarios.</t>
  </si>
  <si>
    <t>The researchers provide a transparent evaluation that includes peak memory usage and build times alongside standard throughput metrics. They do not shy away from reporting adverse results, such as performance degradation under high skew, and provide detailed technical reasons for these behaviors.</t>
  </si>
  <si>
    <t>The study follows good practices by utilizing a warm-up phase to eliminate cold-start bias and provides a very detailed description of the hardware platform. However, the omission of error bars in the charts and specific iteration counts makes it harder to assess the precise statistical variance of the results.</t>
  </si>
  <si>
    <t>The paper exhibits high transparency by providing the source code and using standard, publicly available benchmarks for all evaluations. The reporting is balanced, showing both the strengths of the lock-free learned approach and the scenarios where traditional synchronization methods remain competitive.</t>
  </si>
  <si>
    <t>TONE: cutting tail-latency in learned indexes</t>
  </si>
  <si>
    <t xml:space="preserve"> The study maintains strong experimental control by utilizing a consistent hardware environment and applying standard industry configurations to the baseline indexes. However, it lacks detailed reporting on low-level system controls like cache management or specific compiler optimizations.</t>
  </si>
  <si>
    <t xml:space="preserve"> The research effectively uses a mix of standardized and trace-inspired synthetic workloads to stress-test the index. By reporting results even in scenarios where the proposed method does not offer a significant advantage over existing learned indexes, the authors minimize selection bias.</t>
  </si>
  <si>
    <t xml:space="preserve"> The implementation reporting is transparent and highly reproducible, supported by both pseudocode and an open-source repository. The use of official repositories for all baseline comparisons further ensures that the performance gains reported are due to architectural improvements rather than implementation disparities.</t>
  </si>
  <si>
    <t xml:space="preserve">The study follows a highly structured execution plan, utilizing industry-standard benchmarks alongside custom traces modeled after real-world production data. Concurrency is well-documented through a sharding approach, and all operational parameters are transparently reported.
</t>
  </si>
  <si>
    <t>The reporting is transparent and includes honest assessments of where the system does not outperform its predecessors. By explaining the technical reasons behind performance fluctuations in both their system and the baselines, the authors provide a balanced view of the results.</t>
  </si>
  <si>
    <t xml:space="preserve"> The measurement process is sound in its use of multiple experimental runs and high-percentile latency reporting. However, the lack of detail regarding cache warming and measurement overhead leaves some minor uncertainty regarding low-level performance precision.</t>
  </si>
  <si>
    <t>The paper demonstrates high integrity in its reporting by including a full suite of standard benchmarks and providing public access to the source code. The inclusion of results where TONE does not provide a benefit over existing methods further reinforces the objectivity of the study.</t>
  </si>
  <si>
    <t>Limousine: Blending learned and classical indexes to self-design larger-than-memory cloud storage engines</t>
  </si>
  <si>
    <t>The authors maintain high experimental rigour by using a wide array of both classical and learned baselines and providing transparent hardware and cloud VM specifications. Confounding factors like memory residency are explicitly modeled to ensure the accuracy of performance estimations.</t>
  </si>
  <si>
    <t>The research utilizes a comprehensive suite of datasets and workloads that represent both theoretical distributions and real-world applications. By testing across all standard YCSB variants, the authors ensure the system is evaluated against diverse and challenging operational requirements.</t>
  </si>
  <si>
    <t>The implementation is described with exceptional technical depth, moving from abstract design principles to specific Rust-based code generation techniques. The use of established industrial baselines and a rigorous multi-step validation process ensures that the system's performance is measured against fair and representative targets.</t>
  </si>
  <si>
    <t>The experimental execution is highly transparent, utilizing standardized benchmarks (YCSB) and detailed cloud environment specifications. While the paper excels in performance and concurrency modeling, the provided excerpts lack specific details on crash-consistency testing, though the fundamental mechanism for disk persistence is noted.</t>
  </si>
  <si>
    <t>The paper provides a transparent and holistic reporting of performance, openly discussing the inherent weaknesses of learned structures and the limitations of their own search algorithms. By explaining variances in cloud-based measurements, the authors ensure the results are contextualized rather than presented as perfect.</t>
  </si>
  <si>
    <t>The use of error bars and large-scale query counts (30M) demonstrates a commitment to statistical reliability. While some low-level details like warm-up periods are missing from the text, the overall measurement framework is robust and accounts for the inherent variability of cloud environments.</t>
  </si>
  <si>
    <t>The paper adheres strictly to its stated methodology, reporting results across a diverse and standardized set of benchmarks and datasets. The inclusion of "unfavorable" data points—such as model accuracy drops or performance convergence with baselines—reinforces the objectivity of the reporting.</t>
  </si>
  <si>
    <t>Updatable learned index with precise positions</t>
  </si>
  <si>
    <t>The researchers provide a transparent experimental setup with detailed hardware and compiler specifications. They ensure a fair baseline comparison by using standard implementations and conducting a comprehensive parameter analysis to justify their chosen configurations.</t>
  </si>
  <si>
    <t xml:space="preserve"> LIPP is evaluated against a robust variety of datasets that include both real-world and synthetic distributions. The inclusion of diverse workloads with varying read/write ratios ensures that the performance gains reported are not limited to specific, favorable conditions.</t>
  </si>
  <si>
    <t>The implementation of LIPP is meticulously documented with pseudocode and algorithmic proofs, ensuring that the precise-position mechanism is understandable and reproducible. The availability of source code and the use of optimized, reputable baselines further minimize the risk of implementation bias.</t>
  </si>
  <si>
    <t>The experimental execution follows a rigorous methodology that aligns perfectly with the reported results across diverse datasets and dynamic workloads. While concurrency and crash consistency are not evaluated, this is consistent with the paper's stated scope of being a single-threaded in-memory index evaluation.</t>
  </si>
  <si>
    <t>The paper is highly transparent, providing a multi-dimensional performance analysis that includes throughput, memory, and latency metrics. It explicitly discusses scenarios where the proposed method faces challenges, such as highly non-uniform data distributions.</t>
  </si>
  <si>
    <t xml:space="preserve">The researchers followed good practice by performing multiple experimental runs and reporting variance through standard deviation and 99th percentile metrics. However, details regarding warm-up periods and measurement overhead quantification are missing from the provided text.
</t>
  </si>
  <si>
    <t>The paper adheres to high standards of scientific reporting by making artifacts publicly available for reproducibility. It presents a balanced view by showing that performance gains vary significantly depending on the dataset's uniformity and the specific operation being performed.</t>
  </si>
  <si>
    <t>HL-LSM: A LSM-Tree Combined with Read Hotness and Learned Index</t>
  </si>
  <si>
    <t>The research provides a transparent baseline and specific hardware environment details, ensuring a fair physical setup for the experiments. It effectively describes the data types and workload volumes, though it lacks deep detail on the specific tuning of legacy baseline configurations.</t>
  </si>
  <si>
    <t xml:space="preserve"> The researchers demonstrate a transparent evaluation by showing the system's limitations in low-read scenarios. While the workloads cover essential patterns (hot vs. random), the assessment is limited by the exclusive use of synthetic data and a lack of real-world traces.</t>
  </si>
  <si>
    <t xml:space="preserve">The algorithmic description and architectural logic are highly detailed, providing a clear map of how the prefix search and interpolation points function. The use of reputable baselines strengthens the implementation's credibility, though the lack of public source code limits immediate reproducibility.
</t>
  </si>
  <si>
    <t>The experimental execution closely follows the architectural design, particularly in how it validates the background construction of indexes and the distribution of hot keys. While specific details on write patterns and general thread counts are thin, the core workload parameters are well-defined.</t>
  </si>
  <si>
    <t>The reporting is highly transparent, notably including instances where the proposed system performs worse than the baselines. The primary missing element is a quantitative measurement of the memory overhead for the learned index.</t>
  </si>
  <si>
    <t xml:space="preserve"> While the results demonstrate clear trends, the paper lacks statistical rigor. The absence of error bars and details regarding multiple experimental trials makes it difficult to assess the stability of the reported performance gains.</t>
  </si>
  <si>
    <t xml:space="preserve"> The authors demonstrate a high level of integrity by presenting a balanced view of the system’s performance, including its weaknesses. However, the lack of accessible source code remains a barrier to full independent verification.</t>
  </si>
  <si>
    <t>From LeanStore to LearnedStore: Using a Learned Index to Improve Database Index Search</t>
  </si>
  <si>
    <t>2023 (Specifically December 2023)</t>
  </si>
  <si>
    <t>The paper demonstrates high experimental rigor by using a high-performance baseline and controlling for hardware-level confounding factors like NUMA effects. The documentation of dataset characteristics is comprehensive, though more detail on baseline hyperparameter tuning would be beneficial.</t>
  </si>
  <si>
    <t xml:space="preserve"> The paper utilizes a robust and diverse set of workloads that successfully challenge the index across different storage tiers (RAM vs. SSD). The inclusion of standard benchmarks like SOSD and YCSB adds further credibility to the selection process.</t>
  </si>
  <si>
    <t>The methodology is mathematically and architecturally sound, with a clear explanation of how the learned model integrates with the existing B+-tree structure. While the description is highly reproducible in theory, the lack of a public code repository is a notable gap in evidence for this domain.</t>
  </si>
  <si>
    <t>The experimental execution is highly consistent with the described hybrid architecture and covers a diverse range of operational mixes (read vs. write). However, the paper lacks depth regarding the internal concurrency management of the learned index models and does not address crash consistency.</t>
  </si>
  <si>
    <t xml:space="preserve"> Reporting is comprehensive and remarkably transparent regarding the weaknesses of learned indexes. The inclusion of tail latency and startup time metrics provides a more complete picture of system performance than throughput alone.</t>
  </si>
  <si>
    <t>The study is strong in its handling of system states (warm vs. cold), which is often a major source of bias in database research. The primary weakness is the lack of statistical variance reporting (error bars) on the throughput aggregates.</t>
  </si>
  <si>
    <t>The paper maintains high integrity by showing a wide range of results, including cases where the proposed system is less effective. The reliance on established benchmarks like SOSD further bolsters the reliability of the reported results.</t>
  </si>
  <si>
    <t>Learned index for non-key queries</t>
  </si>
  <si>
    <t>The paper provides excellent transparency regarding hardware specifications and dataset variety, ensuring the environmental context is clear. However, there is a lack of detail regarding environmental controls like cache management and the specific optimization rigor applied to the baseline reimplementations.</t>
  </si>
  <si>
    <t>The researchers utilized a robust mix of synthetic and real-world data to validate their claims across various mathematical distributions. The inclusion of varying non-key proportions ensures the performance claims are tested against diverse query workloads rather than just ideal scenarios.</t>
  </si>
  <si>
    <t xml:space="preserve"> The implementation is documented thoroughly through pseudocode and structural definitions, allowing for a clear understanding of the HBFdex logic. However, the reliance on internal reimplementations for baselines and the lack of a public code link prevents a higher score for reproducibility.</t>
  </si>
  <si>
    <t>The experimental execution aligns perfectly with the described algorithms and includes detailed workload ratios for dynamic operations. While concurrency and failure recovery are not addressed, they are outside the stated scope of the single-threaded performance evaluation.</t>
  </si>
  <si>
    <t>The reporting is highly transparent, covering a wide array of performance dimensions. Crucially, the authors do not hide the index's limitations regarding positive-only query workloads or the inherent complexities of deleting data from Bloom filters.</t>
  </si>
  <si>
    <t>While the high-level environment is documented, the paper lacks the technical depth required to assess the precision of its measurements. The absence of error bars and the lack of clarity on experimental repetitions or warm-up procedures represent a moderate risk of measurement bias.</t>
  </si>
  <si>
    <t xml:space="preserve">The paper demonstrates strong integrity in reporting, showing a balanced view of performance across various scales and distributions. While the underlying datasets are accessible to the public, the lack of released source code limits full independent reproducibility.
</t>
  </si>
  <si>
    <t>{HiDPU}: A {DPU-Oriented} Hybrid Indexing Scheme for Disaggregated Storage Systems</t>
  </si>
  <si>
    <t xml:space="preserve"> The researchers maintained high experimental control by using identical hardware for all tests and clearly defining the architectural differences between HiDPU and its baselines. By providing a sensitivity analysis and detailed dataset characteristics, they demonstrate a commitment to fair performance evaluation across different workloads.</t>
  </si>
  <si>
    <t xml:space="preserve"> The researchers utilized a broad spectrum of standardized traces and benchmarks that represent various data center scenarios. Their inclusion of workloads that specifically challenge their proposed Pilot Cache (such as random OLTP patterns) suggests a balanced and non-biased selection of experimental data.</t>
  </si>
  <si>
    <t>The methodology is transparent, with a publicly available artifact and thorough descriptions of both the proposed system and its optimized baselines. The use of a breakdown analysis provides clear evidence that the implementation functions according to the intended design principles.</t>
  </si>
  <si>
    <t xml:space="preserve">The researchers provide a detailed account of how the system handles concurrent operations and dynamic updates, matching these descriptions with experimental results that scale up to 256 clients. While formal crash-consistency testing is not the primary focus, the mechanisms for maintaining index consistency during updates are well-documented.
</t>
  </si>
  <si>
    <t xml:space="preserve"> The study is comprehensive, reporting multiple performance dimensions and explicitly discussing scenarios where the proposed system—or its baselines—face performance degradation. The inclusion of reconstruction overhead analysis provides a complete picture of the system's operational lifecycle.</t>
  </si>
  <si>
    <t xml:space="preserve"> While the metrics are standard for the field, the absence of error bars and explicit mention of warm-up periods represents a minor reporting gap. However, the use of detailed latency breakdowns and large query batches suggests a rigorous approach to quantifying system behavior.</t>
  </si>
  <si>
    <t xml:space="preserve"> The paper demonstrates a high level of transparency by providing a public artifact, reporting results for all mentioned datasets, and including a sensitivity analysis. The balanced presentation of results across varied workloads suggests a lack of selective reporting.
</t>
  </si>
  <si>
    <t>Towards Optimizing Learned Index for High Performance, Memory Efficiency and NUMA Awareness</t>
  </si>
  <si>
    <t xml:space="preserve"> The study provides a high level of transparency regarding its hardware environment and the specific configurations of baseline models, ensuring that comparisons are made on an even playing field. By implementing a warm-up period and matching node sizes across different index types, the authors minimize potential performance artifacts.</t>
  </si>
  <si>
    <t>The implementation is described with a high degree of technical granularity, covering the mathematical scaling of models and the logic behind phase-based data migration. The use of established benchmarks and thorough sensitivity testing ensures that the reported system functions as the theoretical design intended.</t>
  </si>
  <si>
    <t>The experimental execution is robust, utilizing industry-standard benchmarks (YCSB) and varied real-world datasets to test the system under stress. The clear specification of thread counts and the use of realistic data skew provide a high level of confidence in the experimental results, though more direct testing of crash recovery speed would further strengthen the persistence claims.</t>
  </si>
  <si>
    <t>The researchers provide a balanced view by reporting not only high-level throughput but also memory overheads and specific scenarios where the system underperforms. This transparency regarding performance trade-offs and multi-NUMA bottlenecks indicates a low risk of reporting bias.</t>
  </si>
  <si>
    <t>The use of a clear warm-up period and the focus on minimizing monitoring overhead are strong practices. However, the lack of reported statistical variance (error bars) and specific details on the number of repeated trials introduces some uncertainty regarding the precision of the measurements.</t>
  </si>
  <si>
    <t>The paper avoids "cherry-picking" by testing against a standard benchmark suite (YCSB) and including diverse real-world datasets of varying difficulty. By highlighting cases where existing models are superior or where DiffLex hits performance ceilings, the authors demonstrate a commitment to objective reporting.</t>
  </si>
  <si>
    <t>LCKV: Learner-Cleaner Optimized Adaptive Key-Value Separated LSM-Tree Store</t>
  </si>
  <si>
    <t>The paper provides comprehensive details regarding the hardware environment and software versions, ensuring a controlled testing environment. While specific kernel-level environmental controls are not detailed, the use of standardized KV pair sizes and established baselines supports a fair experimental setup.</t>
  </si>
  <si>
    <t>The researchers used a standardized and comprehensive benchmark suite (YCSB) to test a wide array of access patterns. By reporting results across all workloads, including those where LCKV was not the absolute leader, the authors demonstrate a transparent and non-selective evaluation process.</t>
  </si>
  <si>
    <t>The paper provides a detailed algorithmic and structural breakdown of the LCKV system, specifically regarding the interaction between the Learner and the Cleaner. However, the omission of a public repository link for the LCKV code itself poses a challenge for full independent reproducibility.</t>
  </si>
  <si>
    <t>The experimental execution uses standardized, realistic workload patterns (YCSB) and maintains consistency between the proposed Learner-Cleaner architecture and the performance results. However, there is no information regarding thread-level concurrency or system recovery, which are critical for evaluating production-ready storage systems.</t>
  </si>
  <si>
    <t>The paper demonstrates honest reporting by including unfavorable comparisons where LCKV underperforms compared to established baselines. It provides a complete set of results for all promised experiments, although a more explicit section dedicated to the system's limitations would further strengthen the reporting.</t>
  </si>
  <si>
    <t xml:space="preserve">While the high-level metrics are clearly visualized, there is a significant lack of statistical rigor, specifically the absence of error bars or details regarding repeated trials. Without information on warm-up periods or measurement overhead, it is difficult to determine if the reported throughput is consistently reproducible across different runs.
</t>
  </si>
  <si>
    <t xml:space="preserve"> The authors provide a comprehensive and balanced view of LCKV’s performance across all tested scenarios. The primary concern in this domain is reproducibility, as the lack of a public repository for the LCKV implementation hinders independent verification of the results.</t>
  </si>
  <si>
    <t>HIRE: A Hybrid Learned Index for Robust and Efficient Performance under Mixed Workloads</t>
  </si>
  <si>
    <t>The study demonstrates a high degree of experimental control by using standardized hardware and compiler settings for all tested indexes. Fairness is maintained by citing the exact GitHub sources for baselines and conducting parameter tuning to ensure each baseline performs at its best.</t>
  </si>
  <si>
    <t xml:space="preserve"> The research utilizes established real-world benchmarks (SOSD and GRE) that cover a broad spectrum of data distributions. By including datasets where learned indexes traditionally struggle, the authors provide a robust and non-biased assessment of HIRE’s performance under difficult conditions.</t>
  </si>
  <si>
    <t xml:space="preserve"> The implementation details are exceptionally transparent, supported by comprehensive pseudocode and ablation studies that validate the core design choices. The reliance on reputable third-party implementations for all comparisons further reduces the risk of implementation bias.</t>
  </si>
  <si>
    <t>The study executes experiments that are highly consistent with its stated methodology, using standardized workload ratios to test dynamic operations. Concurrency is addressed with specific thread counts and clear synchronization logic, ensuring the execution is both transparent and rigorous.</t>
  </si>
  <si>
    <t xml:space="preserve">The reporting is exceptionally balanced, as it includes negative findings regarding construction speed and concurrency limits. By acknowledging the limitations of numeric-only indexing and providing ablation data for every core feature, the authors minimize reporting bias.
</t>
  </si>
  <si>
    <t>The use of high-percentile tail latency provides a strong look at performance variance, though the absence of explicit warm-up procedures or timing mechanism details (e.g., specific clock calls) leaves minor room for measurement bias.</t>
  </si>
  <si>
    <t xml:space="preserve"> The research avoids selective reporting by showcasing diverse performance dimensions, including areas where the proposed method is not the top performer (such as build time). The inclusion of all datasets in the results ensures a complete and honest presentation of the findings.</t>
  </si>
  <si>
    <t>Bounding the Last Mile: Efficient Learned String Indexing</t>
  </si>
  <si>
    <t>The paper excels in selecting and describing relevant real-world datasets and modern baselines. However, it lacks reported detail on the specific hardware and environmental controls used during testing, making it difficult to fully assess experimental confounding.</t>
  </si>
  <si>
    <t>The researchers utilized a robust set of large-scale real-world datasets that represent different string-based challenges. Their willingness to report and analyze poor performance on specific datasets (URLs) demonstrates a lack of selection bias.</t>
  </si>
  <si>
    <t>The methodology and architecture of RSS are well-documented, and the use of established baselines ensures the comparison is meaningful. The primary limitation in this domain is the absence of a direct link to the source code in the provided text.</t>
  </si>
  <si>
    <t>The experiments are highly consistent with the primary indexing and dictionary encoding scenarios described. However, the evaluation is limited to static datasets, as the authors intentionally exclude dynamic operations and concurrency from the scope of this work.</t>
  </si>
  <si>
    <t>The reporting is comprehensive and transparent. The authors do not hide the fact that their method can be slower than competitors like HOT on certain datasets and provide a technical explanation for these performance characteristics.</t>
  </si>
  <si>
    <t xml:space="preserve"> While the metrics reported are standard, the lack of information regarding measurement rigor—such as statistical variance, hardware environment, and timing mechanisms—introduces uncertainty regarding the precision and replicability of the performance numbers.</t>
  </si>
  <si>
    <t>The paper demonstrates a balanced selection of results, including data where the proposed method is not the top performer. Transparency is high regarding the datasets used, though the accessibility of the exact source code for RSS is not explicitly confirmed in the text</t>
  </si>
  <si>
    <t>BLI: A High-performance Bucket-based Learned Index with Concurrency Support</t>
  </si>
  <si>
    <t xml:space="preserve"> The research demonstrates strong experimental control by detailing hardware specifications and utilizing a recognized third-party benchmarking suite for baseline implementations. While specific system-level controls like cache flushing are not explicitly documented, the thorough description of dataset "hardness" and key sizes ensures a transparent comparison environment.</t>
  </si>
  <si>
    <t>Dataset selection is well-justified and follows established research precedents by categorizing data based on distribution complexity. The inclusion of negative results regarding range query performance and specific dataset scenarios provides significant evidence against cherry-picking and suggests a balanced evaluation.</t>
  </si>
  <si>
    <t>The implementation is highly transparent, featuring detailed pseudocode for its core logic and providing public access to the source code for reproducibility. By using baseline implementations from an established benchmarking paper, the study avoids "strawman" comparisons and ensures all tested systems are properly optimized.</t>
  </si>
  <si>
    <t>The experiments are executed with well-defined workload parameters and cover a diverse range of operational ratios, which accurately reflect the needs of dynamic learned indexes. While the paper lacks information on crash recovery, it provides a thorough evaluation of concurrency using realistic thread counts and detailed synchronization mechanisms.</t>
  </si>
  <si>
    <t>The researchers provide a highly transparent report that includes comprehensive performance dimensions and explicitly highlights where their system is weaker than existing state-of-the-art methods. By explaining anomalies in performance and acknowledging design trade-offs, they minimize the risk of reporting bias.</t>
  </si>
  <si>
    <t>While the metrics and benchmarks used are standard for the field, there is a lack of statistical detail regarding measurement variance and experimental repetition. The absence of error bars and explicit warm-up procedures suggests some risk that transient system effects could influence the reported numbers.</t>
  </si>
  <si>
    <t>The research displays high integrity in result selection by providing public access to source code and artifacts for verification. The inclusion of comprehensive workload ratios and the explicit reporting of unfavorable performance results in specific scenarios strongly suggests the absence of selective reporting or cherry-picking.</t>
  </si>
  <si>
    <t>The PGM-index: a fully-dynamic compressed learned index with provable worst-case bounds</t>
  </si>
  <si>
    <t>The paper demonstrates strong experimental control by using widely recognized baseline libraries and ensuring the competitor structures are optimized through various configurations like page sizes and model counts. While some environment-specific details like OS versions are missing, the use of randomized operation batches to control for hardware prefetching shows a high level of concern for experimental fairness.</t>
  </si>
  <si>
    <t>The dataset selection is robust, covering a wide range of synthetic statistical distributions and standard real-world benchmarks that vary in size and pattern. The authors avoid cherry-picking by reporting comprehensive results across various error tolerances (ϵ) and identifying specific scenarios where their secondary optimizations, like slope compression, do not perform well.</t>
  </si>
  <si>
    <t>The paper excels in implementation transparency by providing both rigorous theoretical proofs and clear pseudocode for its algorithms. By releasing the source code and utilizing highly optimized, reputable libraries for baseline comparisons, the authors minimize the risk of "strawman" benchmarking or implementation bias.</t>
  </si>
  <si>
    <t>The experimental execution is robust regarding workload definitions and the handling of dynamic operations, specifically avoiding hardware-level shortcuts like speculative execution. However, because the paper's scope is primarily on the algorithmic design of the index structure itself, details on concurrency and crash recovery are absent from the sources.</t>
  </si>
  <si>
    <t>The paper is transparent about the performance trade-offs, showing exactly when and why the PGM-index might underperform traditional structures. The reporting is comprehensive, covering all promised configurations and acknowledging the complexity of dynamic updates.</t>
  </si>
  <si>
    <t>The paper uses rigorous batch testing and reports statistical variance for its error-approximation models. However, it lacks specific details regarding low-level measurement overheads and explicit warm-up procedures, which are common in high-performance computing benchmarks.</t>
  </si>
  <si>
    <t>The authors demonstrate high integrity by reporting a wide range of outcomes, including where the B+-tree is superior and where compression adds latency. The public availability of their source code further supports the lack of selective reporting bias.</t>
  </si>
  <si>
    <t>On nonlinear learned string indexing</t>
  </si>
  <si>
    <t>The authors maintain strong experimental control by clearly defining the hardware used (Intel Core i7 CPU and NVIDIA GeForce GPU) and ensuring all query time comparisons are conducted on the same systems. They provide a comprehensive description of baselines, specifically the Fast Succinct Trie (FST), and justify why other structures like B-trees or RMI were either unsuitable or unavailable for comparison. Performance is reported as an average of 10 repetitions to mitigate environmental noise, although specific OS-level controls like cache flushing are not explicitly detailed. Finally, the paper demonstrates fair optimization by rigorously tuning the ANN models (using Adam optimization and MAE/MSE loss) while simultaneously varying the sampling rate of the FST baseline to provide a fair space-time trade-off curve.</t>
  </si>
  <si>
    <t>The study avoids selection bias by utilizing four real-world datasets from widely different domains—natural language, geographic locations, URLs, and genomics—to ensure a variety of alphabet sizes and string densities. These are supplemented by a synthetic generator specifically designed to test how variations in string length, alphabet size, and density affect model performance. The testing covers a broad range of string characteristics, including short, dense DNA sequences and long, sparse URLs. There is no evidence of cherry-picking; the authors openly report that their proposed learned models failed to outperform the baseline in three out of four real-world scenarios, leading them to the objective conclusion that learned models are not yet a complete replacement for classic trie-based solutions.</t>
  </si>
  <si>
    <t>The paper demonstrates high transparency by providing architectural diagrams, a dedicated table for hyperparameters, and a public link for code and data. By using the Fast Succinct Trie and justifying the exclusion of other models based on preliminary testing, the authors ensure the comparisons are both fair and reproducible.</t>
  </si>
  <si>
    <t>The experiments are internally consistent with the stated methodology, providing a clear picture of how string density and alphabet size affect performance. While dynamic operations and concurrency are not addressed, the authors are transparent about these limitations, framing them as open problems for future work rather than claiming functionality they did not test.</t>
  </si>
  <si>
    <t>The paper excels in reporting by providing a balanced view that prioritizes honesty over promotion. By including detailed metrics for failure cases and explaining anomalous data points, the authors provide a complete picture of the current state of learned string indexing.</t>
  </si>
  <si>
    <t>The authors provide solid baseline information regarding hardware and averaging, which supports general reproducibility. However, the assessment is limited by the lack of reported variance (like standard deviation) and silence on system-level initialization (warm-up), which are standard for high-precision systems research.</t>
  </si>
  <si>
    <t>This domain receives the highest possible marks because the authors published their code and showcased their model’s superiority in only one out of four real-world test cases. This level of transparency strongly mitigates any suspicion of selective reporting or bias toward their own proposed SMLP model.</t>
  </si>
  <si>
    <t>UpLIF: An Updatable Self-Tuning Learned Index Framework</t>
  </si>
  <si>
    <t>Not explicitly mentioned in the sources (though the bibliography contains references dated as recently as 2024).</t>
  </si>
  <si>
    <t xml:space="preserve">The paper provides highly detailed specifications for its hardware, software, and datasets, ensuring a reproducible environment. Baseline methods are diverse and appropriately cited, though explicit details on the hyperparameter tuning of those specific baselines are limited compared to the internal tuning of UpLIF.
</t>
  </si>
  <si>
    <t xml:space="preserve"> The use of the SOSD benchmark ensures that the datasets are industry-standard and not selected arbitrarily. The inclusion of diverse workloads, including a specific evaluation for distribution shifts, demonstrates a commitment to testing the framework under varied, non-ideal conditions.</t>
  </si>
  <si>
    <t>The implementation is described with significant algorithmic depth, particularly regarding the mathematical relaxation of the optimization problem and the logic of the BMAT structure. While reproducibility is aided by detailed pseudocode and parameter listings, the explicit availability of the primary source code is not confirmed in the sources.</t>
  </si>
  <si>
    <t>The experiments closely align with the methodology, utilizing well-defined, standard benchmarks and realistic workload mixes. However, the paper's scope in the sources does not extend to concurrency or crash consistency, which are omitted from the support claims.</t>
  </si>
  <si>
    <t>The paper is highly transparent regarding performance and memory usage across all Promised configurations. However, it lacks a critical discussion of its own internal limitations, focusing instead on surpassing baseline deficiencies.</t>
  </si>
  <si>
    <t>The authors employ robust practices such as averaging multiple runs and accounting for system-tuning overhead. The primary concern is the lack of visible statistical variance (error bars) in the reported performance plots.</t>
  </si>
  <si>
    <t>The reporting is comprehensive and follows the methodology strictly across various datasets and workloads. While dataset sources are transparent, the accessibility of the specific UpLIF implementation code is not confirmed in the sources.</t>
  </si>
  <si>
    <t>SALI: A scalable adaptive learned index framework based on probability models</t>
  </si>
  <si>
    <t>The paper demonstrates high experimental rigor by using standardized hardware and explicit cache-clearing protocols to ensure results are not skewed by environmental noise. The selection of both traditional and learned index baselines provides a comprehensive comparative context for the results. While the optimization of baseline hyperparameters is not exhaustively detailed, the use of recognized concurrent implementations suggests a fair evaluation of standard performance.</t>
  </si>
  <si>
    <t>The use of established benchmarks and a variety of workload intensities (from read-only to write-only) ensures that the findings are applicable to different system requirements. By testing against datasets specifically labeled as "hard" for learned indexes, the authors avoid the bias of only presenting scenarios where their model is naturally advantaged. However, the study is limited to numeric keys, meaning the performance on diverse string patterns remains unverified within this specific source material.</t>
  </si>
  <si>
    <t>The authors provide comprehensive pseudocode for five primary algorithms, covering lookup, insertion, and various evolving strategies. Reproducibility is strongly supported by the provision of a public GitHub repository and the use of well-regarded baselines like Masstree, ART-OLC, and concurrent versions of ALEX and LIPP. Additionally, the paper includes an ablation study in Section 4.4 that validates the effectiveness of the probability-based model against traditional statistical maintenance methods.</t>
  </si>
  <si>
    <t>The experiments strictly follow the methodology by testing the specific evolving strategies for hot-read, hot-write, and cold nodes described in the technical sections. The paper details realistic concurrency levels up to 64 threads and explains the use of optimistic locking, Read-Copy-Update (RCU), and epoch-based reclamation to manage thread interactions. Furthermore, workloads are explicitly defined with clear read/write ratios and utilize diverse, real-world datasets such as COVID-19 tweet IDs and OpenStreetMap locations.</t>
  </si>
  <si>
    <t>The paper provides a comprehensive evaluation covering throughput, 99.9% tail latency, and index size across various datasets. The authors explicitly discuss scenarios where their strategies are less effective, such as the negligible improvement of read-evolving on "easy" datasets with low tree depth and the higher overall space cost compared to other indexes due to reserved gaps. Furthermore, a dedicated Section 5.2 outlines limitations, including the current lack of support for duplicate keys.</t>
  </si>
  <si>
    <t xml:space="preserve"> The authors detail their experimental setup, including the specific Intel Xeon Gold server hardware and DRAM used for hyper-threading tests. They accounted for variability by repeating experiments 10 times for Hot-write workloads and 5 times for others, reporting the average after excluding outliers. While they do not explicitly show error bars in the charts, they ensure consistency by wiping caches and re-loading data between measurements to avoid intermediate result interference.</t>
  </si>
  <si>
    <t>The paper presents results for all five mentioned datasets, including those explicitly labeled as "hard" (OSM and GENOME). The reporting is balanced, showing that SALI's performance is slightly lower than LIPP+ in read-only scenarios due to the overhead of identifying hot and cold nodes. Reproducibility is prioritized through the provision of a public GitHub repository and a supplementary appendix for extended evaluation plots.</t>
  </si>
  <si>
    <t>Chameleon: Towards Update-Efficient Learned Indexing for Locally Skewed Data</t>
  </si>
  <si>
    <t>The study maintains strong experimental control by using standardized hardware and a wide array of well-documented baselines using their original source code. While it lacks explicit details on compiler-level optimizations, the use of the SOSD benchmark framework and detailed reporting of dataset skewness provides a high degree of transparency and baseline fairness</t>
  </si>
  <si>
    <t>The authors utilize a balanced mix of real and synthetic data sourced from an established industry benchmark to ensure diversity in data distributions. Their willingness to report and explain scenarios where their method does not outperform baselines (e.g., uniform distributions) indicates a commitment to a non-biased, comprehensive evaluation.</t>
  </si>
  <si>
    <t>The implementation is highly transparent, providing mathematical models, pseudocode, and specific architectural hyper-parameters for the reinforcement learning agents. The provision of a public GitHub repository and the use of an ablation study further ensure that the implementation is reproducible and aligns with the proposed design.</t>
  </si>
  <si>
    <t>The experimental execution is robust, featuring realistic mixed-workload simulations and a clear explanation of thread interactions via interval locks to support non-blocking updates. While the methodology for concurrent execution is well-defined, the study lacks information on failure recovery or crash consistency, which may be outside its primary scope of optimising query efficiency for skewed data.</t>
  </si>
  <si>
    <t>The reporting is exceptionally thorough, covering all standard performance dimensions and including a transparent analysis of how individual components affect the system. The explicit inclusion of a limitations section and the discussion of performance on non-optimized (uniform) datasets demonstrate a high level of reporting integrity.</t>
  </si>
  <si>
    <t>While the hardware environment is well-defined and average performance is reported, there is a lack of statistical detail regarding variance (error bars). Furthermore, the absence of information on warm-up periods and measurement overheads introduces some uncertainty regarding the precision of the cold-start performance vs steady-state performance.</t>
  </si>
  <si>
    <t>There is no evidence of selective reporting; the authors are transparent about where their method excels (locally skewed data) and where it is less efficient (construction time and uniform data). The provision of source code and consistent use of all mentioned datasets across all experiments further bolsters the credibility of the reported results.</t>
  </si>
  <si>
    <t>DobLIX: A Dual-Objective Learned Index for Log-Structured Merge Trees</t>
  </si>
  <si>
    <t>The study demonstrates high experimental rigor by utilizing identical hardware, documented software versions, and standard baseline implementations. Baseline fairness is maintained through the use of default industry-standard configurations and well-defined dataset characteristics.</t>
  </si>
  <si>
    <t xml:space="preserve">The paper avoids selection bias by testing against a comprehensive mix of established synthetic benchmarks and real-world traces. The inclusion of variable string lengths and diverse request distributions ensures the results are robust and representative of actual use cases.
</t>
  </si>
  <si>
    <t>The implementation is highly transparent, featuring detailed pseudocode for all primary algorithms and the public release of the source code. The design is validated through extensive technical descriptions of the model architectures and an ablation study that confirms the necessity of each component.</t>
  </si>
  <si>
    <t>The experimental execution is robust, utilizing standard benchmarks like YCSB and clearly defining thread counts and workload operation mixes. However, while it addresses metadata preservation for query stability, it provides no data on crash consistency testing or recovery time after system failures.</t>
  </si>
  <si>
    <t>Reporting is exceptionally transparent, including both traditional performance metrics and overhead costs. The authors do not shy away from discussing the limitations of Reinforcement Learning or scenarios where specific models (PLA vs. PRA) underperform.</t>
  </si>
  <si>
    <t>The use of multiple runs and statistical measures like quartiles and standard deviations provides a high degree of confidence in the results. Measurement overheads are explicitly quantified, confirming that the learned index does not significantly hinder the background processes of the storage engine.</t>
  </si>
  <si>
    <t>The paper exhibits high scientific integrity through the public release of its source code and the use of an ablation study to justify its technical contributions. The reporting is balanced, showing clearly where different algorithmic approaches succeed or fail relative to one another.</t>
  </si>
  <si>
    <t>The case for learned index structures</t>
  </si>
  <si>
    <t>The paper demonstrates a high level of experimental control by using competitive production-grade baselines and standard optimization techniques like grid search. While some environmental details (like OS version) are not explicitly listed, the authors' focus on "fair comparison" through implementations outside their testing framework suggests robust control against confounding bias.</t>
  </si>
  <si>
    <t>The researchers utilized a diverse array of datasets specifically chosen to test the limits of the proposed models rather than just their strengths. By including "worst-case" real-world data and reporting instances where speedups were less prominent, the paper minimizes selection bias.</t>
  </si>
  <si>
    <t xml:space="preserve">The paper provides a high level of technical detail regarding the RMI hierarchy and the specific neural network configurations used during testing. While the custom LIF software's public availability isn't explicitly confirmed in the text, the use of pseudocode and well-regarded baselines suggests a rigorous approach to implementation.
</t>
  </si>
  <si>
    <t>The experimental execution is tightly focused on read-only performance, which the authors justify as a common requirement for in-memory analytics. Because the paper does not claim to solve dynamic or concurrent indexing, many ROBINS-I criteria for those areas are not applicable, but the parameters for the tests they did conduct are excellently specified.</t>
  </si>
  <si>
    <t>The paper is highly transparent regarding the limitations of learned indexes, particularly for dynamic workloads and string data. While it prioritises latency and size over throughput, it provides a balanced view by including configurations where the proposed method is only marginally better or even slower than the baseline.</t>
  </si>
  <si>
    <t>The researchers took significant care to ensure fairness by removing ML framework overhead and using warm-up periods. The primary weakness in this domain is the omission of statistical variance (error bars/confidence intervals) in the reported performance tables.</t>
  </si>
  <si>
    <t>The paper demonstrates a high level of integrity by reporting results across all promised datasets and showing balanced comparisons. The only significant gap is the lack of a publicly available codebase for the LIF framework, which hinders independent verification of the exact reported numbers.</t>
  </si>
  <si>
    <t>SLIPP: a space-efficient learned index for string keys</t>
  </si>
  <si>
    <t xml:space="preserve"> The researchers utilized a standardized benchmarking framework (TLI) and identical hardware specifications to compare SLIPP against established baselines. While some low-level system configurations were not explicitly listed, the detailed description of dataset characteristics and the use of a controlled single-threaded environment mitigate significant confounding risks.</t>
  </si>
  <si>
    <t xml:space="preserve"> The study incorporates both synthetic and real-world datasets that vary in length and prefix complexity, providing a robust test for a string-based index. The inclusion and discussion of scenarios where the proposed method is less effective (e.g., long common prefixes in URLs) demonstrate a lack of cherry-picking.</t>
  </si>
  <si>
    <t>The researchers provide a high level of detail regarding the internal structure, node logic, and model training of SLIPP, supported by pseudocode. The use of a reputable benchmarking framework (TLI) for baselines ensures fair comparison, although the lack of a direct link to the SLIPP source code limits full reproducibility.</t>
  </si>
  <si>
    <t xml:space="preserve"> The study follows a logical progression from its architectural design to an experimental execution that tests all described operations under clearly defined workload ratios. While concurrency and crash consistency are not addressed, the researchers are transparent about limiting the scope to single-threaded, in-memory performance.
</t>
  </si>
  <si>
    <t xml:space="preserve"> The paper provides a balanced view of SLIPP’s performance, reporting both its strengths in random datasets and its weaknesses in real-world URL datasets. All primary metrics expected for an indexing structure are present and aligned with the proposed methodology.</t>
  </si>
  <si>
    <t>This domain represents the highest risk of bias. While the use of a standard framework (TLI) suggests some baseline of rigor, the total absence of reported variance (error bars), number of trials, or warm-up procedures makes it difficult to assess the stability and precision of the reported throughput numbers.</t>
  </si>
  <si>
    <t>The paper demonstrates high integrity in reporting its comparative results, showing no hesitation in highlighting areas where the proposed index is outperformed. The primary weakness in this domain is the lack of public access to the implementation code, which is standard for full transparency in the field.</t>
  </si>
  <si>
    <t>A fully on-disk updatable learned index</t>
  </si>
  <si>
    <t>The study provides a highly transparent experimental setup, detailing the specific hardware and software used to ensure reproducibility. By leveraging baseline implementations from a previous comprehensive evaluation, the authors mitigate the risk of "strawman" comparisons. While some environmental controls like OS-level cache clearing aren't explicitly detailed, the focus on I/O as the primary metric addresses the most significant confounding factor in on-disk indexing.</t>
  </si>
  <si>
    <t xml:space="preserve"> The research utilizes a rigorous selection methodology by adopting a third-party benchmarking framework to categorize data distribution hardness. The inclusion of both skewed workloads and massive 800M key datasets demonstrates a commitment to testing the index under stress rather than only in ideal conditions. The use of multiple real-world datasets ensures that the results are generalizable to actual database applications.</t>
  </si>
  <si>
    <t>The implementation of AULID is highly transparent, featuring detailed algorithmic pseudocode and a clear structural diagram. The provision of a publicly available source code repository and the use of established, peer-reviewed baseline implementations minimize the risk of implementation bias.</t>
  </si>
  <si>
    <t>The experimental execution is robust, utilizing a wide range of real-world datasets and clearly defined mixed-workload ratios to simulate dynamic database environments. While the study is limited to single-threaded performance, this scope is clearly articulated, and all relevant workload parameters are precisely documented for reproducibility.</t>
  </si>
  <si>
    <t>The reporting is exceptionally thorough, covering every performance dimension promised in the methodology. The authors do not shy away from discussing AULID's higher latency variance compared to traditional trees, ensuring a balanced view of the system's trade-offs.</t>
  </si>
  <si>
    <t>The use of standard deviation and tail latency indicates that the experimental execution was repeated and statistically analyzed. The lack of explicit detail on warm-up periods is a minor omission in an otherwise robust measurement framework.</t>
  </si>
  <si>
    <t>The research demonstrates high integrity in reporting by using established benchmarks and providing all necessary materials for external validation. The consistent presentation of AULID alongside baselines across all datasets and workloads suggests a transparent and non-selective reporting process.</t>
  </si>
  <si>
    <t>Revisiting learned index with byte-addressable persistent storage</t>
  </si>
  <si>
    <t xml:space="preserve"> The study provides a highly controlled experimental environment with detailed hardware and software specifications. It ensures baseline fairness by applying uniform persistence primitives across different index structures and clearly defines the characteristics of the datasets used.</t>
  </si>
  <si>
    <t>The researchers utilized a standardized suite of synthetic and real-world datasets that are common in the learned index literature. Testing across multiple thread counts and workload balances (read/write ratios) provides a comprehensive view of the system's performance</t>
  </si>
  <si>
    <t>The implementation details are robustly documented through architectural diagrams and pseudocode. The authors further validate their design through a comprehensive factor analysis, although the lack of a direct link to the source code is a minor omission for full reproducibility.</t>
  </si>
  <si>
    <t>The study employs a rigorous execution phase that accurately reflects the described lock-free methodology. By testing recovery under intentional failure and scaling thread counts in standardized mixed workloads, the researchers provide a realistic assessment of the index's dynamic capabilities.</t>
  </si>
  <si>
    <t xml:space="preserve">The reporting is transparent, particularly regarding the trade-offs of the PFLX design, such as its slower recovery curve. The inclusion of a factor analysis (ablation study) ensures that the contribution of each design element is clearly understood.
</t>
  </si>
  <si>
    <t>The measurement domain is the weakest area of the study's reporting, primarily due to the absence of statistical variance data (error bars). However, the use of pre-initialization to bypass cache effects demonstrates a good understanding of persistent memory performance measurement.</t>
  </si>
  <si>
    <t>The reporting is highly consistent with the methodology, showing a complete alignment between the experiments planned and the results delivered. The inclusion of real-world data (OSM) alongside synthetic benchmarks provides a broad and credible performance profile.</t>
  </si>
  <si>
    <t>FINEdex: a fine-grained learned index scheme for scalable and concurrent memory systems</t>
  </si>
  <si>
    <t xml:space="preserve">The authors provide a high level of experimental control by detailing the specific hardware environment and using established configurations for all comparative benchmarks. Fairness is prioritized by matching the model counts of baselines to their known optimal settings, though minor details like compiler optimizations are implicit rather than explicitly listed.
</t>
  </si>
  <si>
    <t xml:space="preserve"> The evaluation is comprehensive, utilizing a mix of real-world and synthetic data to stress-test the index under multiple mathematical distributions. While highly robust for numeric keys, the study's scope is strictly limited to 8-byte key types, leaving the performance on variable-length or complex strings unaddressed.</t>
  </si>
  <si>
    <t>The implementation is transparent and highly detailed, providing both conceptual frameworks and concrete pseudocode for its core components. By releasing the open-source code and using established baselines with their original settings, the authors ensure high reproducibility and minimize implementation bias.</t>
  </si>
  <si>
    <t>Experimental execution is rigorous and well-documented, employing standard benchmarks like YCSB to simulate realistic system demands. The clear specification of thread counts and synchronization mechanisms allows for a precise understanding of how the system handles concurrent operations without data loss.</t>
  </si>
  <si>
    <t xml:space="preserve">The reporting is transparent and thorough, covering all standard performance metrics and explicitly highlighting the system's weaknesses and failure cases. By documenting performance drops during specific operations, the authors provide a balanced view of the methodology's real-world application.
</t>
  </si>
  <si>
    <t>While the hardware and thread configurations are clearly defined, there is a significant lack of information regarding statistical rigour and experimental repeatability. The absence of error bars or mention of warm-up phases makes it difficult to assess the stability of the measurements.</t>
  </si>
  <si>
    <t>The paper demonstrates high integrity in result selection by reporting outcomes for all tested datasets and acknowledging where competitors perform better. Public access to the source code further mitigates the risk of selective reporting by allowing independent verification of the claims.</t>
  </si>
  <si>
    <t>A Fast Learned Key-Value Store for Concurrent and Distributed Systems</t>
  </si>
  <si>
    <t>The study demonstrates strong experimental control by using identical hardware and standardized software configurations for all comparative benchmarks. Fairness is maintained by matching the model counts of baselines to their established optimal performance levels found in existing literature.</t>
  </si>
  <si>
    <t>The authors utilized a comprehensive suite of workloads that test the system under various mathematical distributions and real-world data patterns. While the study is highly thorough for numeric data, it lacks evidence of testing for variable-length string characteristics, as it focuses strictly on 8-byte key performance.</t>
  </si>
  <si>
    <t xml:space="preserve">The implementation is highly transparent, providing both conceptual frameworks and concrete pseudocode for its core algorithms. By releasing the open-source code and using established, properly configured baselines, the authors ensure the study is reproducible and minimizes implementation bias.
</t>
  </si>
  <si>
    <t>The experimental execution is rigorous, employing standardised benchmarks and clearly specified thread and synchronization parameters to test concurrent performance. The only minor gap is the lack of failure recovery testing, as the durability features were disabled during the performance measurement phase.</t>
  </si>
  <si>
    <t>The paper demonstrates transparent reporting by including all relevant performance and resource metrics. It maintains integrity by documenting and explaining failure cases or performance regressions, such as the overhead of initial bin allocation or the impact of growing data structures on search speed.</t>
  </si>
  <si>
    <t>While the physical testing environment is well-defined, there is a significant lack of statistical rigour in the presentation of data. The absence of error bars and details regarding experimental repeats or warm-up phases makes it difficult to assess the stability and reliability of the performance measurements.</t>
  </si>
  <si>
    <t>The paper exhibits high integrity in result selection, providing a complete set of data for all mentioned benchmarks and admitting where the system lacks a competitive edge. The public availability of the source code further mitigates risks of cherry-picking or p-hacking.</t>
  </si>
  <si>
    <t>DILI: A distribution-driven learned index</t>
  </si>
  <si>
    <t xml:space="preserve">The researchers maintained high experimental control by using standardized hardware and open-source implementations for all competitors. They mitigated confounding bias by performing sensitivity analyses on baseline hyperparameters and explicitly measuring hardware-level metrics like cache misses.
</t>
  </si>
  <si>
    <t>The authors avoid selection bias by employing the standard SOSD benchmark and supplementing it with a synthetic log-normal distribution to test edge cases. The evaluation is robust, spanning various real-world data types and multiple operational workloads including dynamic updates and deletions.</t>
  </si>
  <si>
    <t>The implementation is meticulously documented through multiple algorithms and formal definitions of the linear regression models. Transparency is high because the source code is publicly available, and the researchers utilized well-regarded baseline implementations for a fair comparison.</t>
  </si>
  <si>
    <t>The experiments are executed consistently with the methodology, employing a wide variety of realistic workloads and real-world datasets like OSM and WikiTS. While concurrency and crash recovery are not addressed, the paper is transparent about its single-threaded, in-memory scope.</t>
  </si>
  <si>
    <t>The paper provides a complete performance profile, reporting on speed, memory, and build times across multiple real-world datasets. It is transparent about limitations, specifically identifying where DILI is less efficient (memory) or currently lacks features (concurrency).</t>
  </si>
  <si>
    <t>Experimental variability is addressed by averaging results over multiple runs, and hardware specs are well-documented. However, the lack of statistical variance reporting (error bars) and the absence of explicit details regarding warm-up periods present some ambiguity in the measurement process.</t>
  </si>
  <si>
    <t>The paper exhibits high integrity in reporting by releasing its full source code and evaluating its method on all datasets mentioned in the setup. It avoids cherry-picking by highlighting trade-offs, such as DILI's higher memory footprint compared to traditional and other learned indexes.</t>
  </si>
  <si>
    <t>ALEX: An Updatable Adaptive Learned Index</t>
  </si>
  <si>
    <t>2020 (Published June 11, 2020).</t>
  </si>
  <si>
    <t>The paper exhibits high experimental rigor by employing a consistent hardware environment and ensuring that all baseline methods were tuned to their peak performance via grid search. Furthermore, the characteristics of the datasets used are thoroughly documented through both statistical tables and distribution visualizations.</t>
  </si>
  <si>
    <t>The authors utilized a robust suite of datasets that span real-world and synthetic origins, ensuring the index was tested against diverse cumulative distribution functions. The inclusion of various read-write workload ratios and skewed access patterns further demonstrates a comprehensive and unbiased evaluation strategy.</t>
  </si>
  <si>
    <t>The implementation of ALEX is transparently documented with pseudocode and architectural diagrams, and the public availability of the source code ensures high reproducibility. By using established libraries for baselines and performing ablation studies to isolate the benefits of specific design choices, the authors minimize implementation bias.</t>
  </si>
  <si>
    <t>The experimental execution is highly transparent, with clear alignment between the proposed adaptive mechanisms and the reported performance metrics. By utilizing established benchmarks like YCSB and varying read-write ratios, the authors demonstrate the index's performance across diverse, realistic scenarios.</t>
  </si>
  <si>
    <t>The paper provides a balanced view of ALEX’s performance, including honest reporting of cases where traditional structures or the original Learned Index remain competitive. The inclusion of diverse metrics—from memory footprint to tail latency—ensures a multi-dimensional understanding of the system's trade-offs.</t>
  </si>
  <si>
    <t>While the measurement environment and duration are well-defined, the absence of statistical variance reporting (like error bars) is a notable omission. However, the use of large datasets (100M+ keys) and 60-second trial durations likely helps to stabilize the reported throughput averages.</t>
  </si>
  <si>
    <t>The authors demonstrate a commitment to reproducibility and transparency by providing public access to their code and testing against widely used datasets. The inclusion of unfavorable results for specific range-query lengths further reinforces the lack of selection bias in their reporting.</t>
  </si>
  <si>
    <t>Sig2Model: A Boosting-Driven Model for Updatable Learned Indexes</t>
  </si>
  <si>
    <t>2025 (arXiv submission date: September 25, 2025).</t>
  </si>
  <si>
    <t>The researchers maintain high experimental integrity by using a well-defined hardware environment and standardized benchmark datasets. Baseline fairness is established by utilizing official implementations and conducting a detailed sensitivity analysis to ensure the proposed model is optimally configured.</t>
  </si>
  <si>
    <t>The study demonstrates a robust evaluation by testing against diverse, industry-standard real-world and synthetic datasets. The use of the entire YCSB benchmark suite suggests a transparent and comprehensive assessment of the model's capabilities.</t>
  </si>
  <si>
    <t xml:space="preserve"> Implementation bias is minimized through rigorous architectural descriptions and the inclusion of pseudocode for core operations. The use of an ablation study further confirms that each component of the neural joint optimization framework functions as intended.</t>
  </si>
  <si>
    <t>The paper provides exceptional detail regarding workload composition, hardware environments, and thread interactions. However, it lacks any discussion or testing regarding system reliability or crash recovery, which are standard for "realistic" database indexing claims.</t>
  </si>
  <si>
    <t>Reporting is comprehensive and includes an honest appraisal of the system's performance boundaries. The inclusion of a specific limitations section and the discussion of threading overhead demonstrate a commitment to transparency.</t>
  </si>
  <si>
    <t xml:space="preserve">While the paper uses repeated runs and quantifies internal model overhead, it lacks standard statistical reporting like error bars in its primary charts. The absence of information regarding cache warm-up is a minor concern for in-memory index evaluation.
</t>
  </si>
  <si>
    <t>The selection of results is balanced and follows the experimental plan outlined in the introduction. The use of standard benchmarks like YCSB across all datasets further reduces the risk of selective reporting bias.</t>
  </si>
  <si>
    <t>SWIX: A memory-efficient sliding window learned index</t>
  </si>
  <si>
    <t xml:space="preserve"> The authors maintained high experimental control by using standardized hardware and a consistent compiler environment. They ensured baseline fairness by performing extensive parameter tuning for competitors and implementing necessary secondary structures to adapt non-streaming indexes to the required workload.</t>
  </si>
  <si>
    <t>The researchers utilized a diverse array of standard synthetic and real-world datasets to ensure broad applicability of the results. The inclusion of varying read-to-write ratios and arrival/departure rates further demonstrates a commitment to testing the system under comprehensive, non-selective workload conditions.</t>
  </si>
  <si>
    <t>The sources provide extensive architectural details for SWIX, including a flat two-layer structure, the SWarray base structure, and specific algorithms for bulk-loading and retraining. The authors include a public GitHub link for the source code and utilize reputable baselines like ALEX, PGM-Index, and IMTree, which were properly optimized via parameter sweeps for fair comparison. Furthermore, detailed analytical cost models and auto-tuning heuristics demonstrate a high level of transparency regarding the model's internal mechanics.</t>
  </si>
  <si>
    <t>The experiments rigorously follow the methodology by testing SWIX against various streaming characteristics, including window lengths, scan ranges, and arrival rates. Parallel SWIX is clearly detailed with specific synchronization mechanisms for meta updates and retraining across worker threads. While workload parameters like Read-to-Write ratios and skewed timestamps are explicitly defined, the paper does not claim to support crash consistency, making failure scenario testing not applicable to this specific research scope.</t>
  </si>
  <si>
    <t xml:space="preserve"> The sources provide comprehensive performance metrics, including latency, memory footprint, and throughput across varying workloads. The authors are transparent about failure cases, explicitly noting that SWIX is less effective than specialized indexes for purely ordered data and struggles with highly non-linear datasets like OSM. Furthermore, they explain unexpected behaviors, such as why memory overhead increases during shorter-range scans due to the limitations of implicit deletion.</t>
  </si>
  <si>
    <t>The paper utilizes the Read Time-Stamp Counter (RDTSC) for high-precision timing and explicitly quantifies its overhead as less than 5%. While the authors report both average and maximum values to illustrate performance variance, they do not explicitly mention the use of warm-up periods or standard statistical confidence intervals in their charts.</t>
  </si>
  <si>
    <t>The research displays high integrity by reporting results for all synthetic and real-world datasets mentioned in the methodology, including those where SWIX underperforms compared to baselines like IMTree or FLIRT. Reproducibility is a core strength, as the paper provides a public GitHub link and carries official ACM Artifacts Evaluated &amp; Reusable badges.</t>
  </si>
  <si>
    <t>G-Learned Index: Enabling Efficient Learned Index on GPU.</t>
  </si>
  <si>
    <t>2024 (Published in June 2024; date of publication April 2, 2024).</t>
  </si>
  <si>
    <t>The study ensures a high level of fairness by utilizing standardized baseline methods and providing precise hardware specifications. It further reduces confounding bias by implementing a parallel version of the PGM-index for a more equitable comparison against the GPU-based G-Learned Index.</t>
  </si>
  <si>
    <t>Dataset selection is well-justified through the use of the SOSD benchmark, ensuring that the results are applicable across varied data distributions and real-world scenarios. The inclusion of both numeric and string datasets, as well as synthetic and real-world traces, demonstrates a comprehensive and balanced evaluation workload.</t>
  </si>
  <si>
    <t>The implementation is highly transparent, featuring publicly available source code and clear pseudocode for core operations. By using reputable baselines and detailing the adaptive parameter tuning process, the authors ensure the methodology is reproducible and robust.</t>
  </si>
  <si>
    <t>The experimental execution is well-documented, specifically regarding GPU thread organization and batch granularity. Furthermore, the inclusion of realistic dynamic update patterns and varying workload selectivities provides a comprehensive evaluation of the index's performance.</t>
  </si>
  <si>
    <t xml:space="preserve"> The paper provides a highly transparent and comprehensive report of performance across multiple dimensions including time, space, and build efficiency. Furthermore, the authors include an explicit discussion of limitations and explain performance plateaus encountered during testing.</t>
  </si>
  <si>
    <t>The methodology for timing is robust, specifically accounting for hardware-level factors like CUDA synchronization and PCIe transfer overhead. However, the reporting lacks formal statistical variance data, such as error bars or explicit repetition counts, to fully confirm measurement stability.</t>
  </si>
  <si>
    <t>The evaluation is exhaustive, covering all datasets and configurations promised in the methodology while providing public access to the implementation for verification. The authors present a balanced view of the system's performance, documenting both its significant speedups and its operational trade-offs.</t>
  </si>
  <si>
    <t>A Data-aware Learned Index Scheme for Efficient Writes</t>
  </si>
  <si>
    <t>2022 (Published August 29, 2022)</t>
  </si>
  <si>
    <t xml:space="preserve">The paper provides high transparency regarding hardware specifications and the specific versions of baseline software libraries used. It offers detailed descriptions of dataset sizes and key types, though it lacks explicit reporting on compiler optimizations and cache control.
</t>
  </si>
  <si>
    <t>The researchers utilized a diverse mix of real-world and synthetic datasets to validate their index scheme across various distribution types. The inclusion of results showing EWALI's performance trade-offs (e.g., higher latency in specific range queries) suggests a balanced and honest presentation of data.</t>
  </si>
  <si>
    <t>The implementation is described with high technical transparency through comprehensive pseudocode and specific model configurations. However, the lack of a public source code repository for EWALI limits its immediate reproducibility for external verification.</t>
  </si>
  <si>
    <t>The experiments use standard industry benchmarks (YCSB) and provide clear specifications for thread usage and workload distribution. The primary limitation is the omission of crash-consistency testing, despite the authors highlighting persistence as a potential benefit of their architecture.</t>
  </si>
  <si>
    <t>The paper is highly transparent, providing a complete set of performance metrics across all promised datasets and workloads. It does not hide unfavorable results, clearly explaining the specific scenarios where the proposed method is less efficient than existing baselines.</t>
  </si>
  <si>
    <t xml:space="preserve">The experimental execution lacks statistical depth, as there is no mention of repeated trials or warm-up periods. The absence of error bars in the figures is a significant concern, making it impossible to determine if the reported performance gains are statistically stable.
</t>
  </si>
  <si>
    <t xml:space="preserve">The researchers demonstrate a balanced reporting style by showing exactly where their method succeeds and where it fails compared to others. While the lack of source code is a hurdle for reproduction, the inclusion of all promised datasets and the use of public benchmarks reduces the risk of selective reporting.
</t>
  </si>
  <si>
    <t>COLIN: A cache-conscious dynamic learned index with high read/write performance</t>
  </si>
  <si>
    <t xml:space="preserve"> The study maintains a high standard of experimental control by using a consistent hardware/software environment and fairly tuned baseline implementations. Dataset characteristics are thoroughly documented, and the inclusion of a pre-warming phase suggests an active effort to mitigate caching bias.</t>
  </si>
  <si>
    <t xml:space="preserve"> The research utilizes a balanced mix of synthetic and real-world data to capture a wide range of data distributions. By testing against standardized YCSB workloads, the paper demonstrates that COLIN’s performance gains are consistent across diverse scenarios rather than limited to a narrow, optimized case.</t>
  </si>
  <si>
    <t xml:space="preserve"> COLIN's design is exceptionally well-documented through structural explanations and comprehensive pseudocode for every major index operation. While the study relies on highly reputable baseline implementations for a fair comparison, the lack of a direct link to the COLIN source code slightly limits the ability to verify the implementation independently.
</t>
  </si>
  <si>
    <t>The experimental execution is highly transparent, utilizing well-established benchmarking standards (YCSB) with clearly defined parameters. The methodology and results are perfectly aligned, though the scope is limited to single-threaded performance.</t>
  </si>
  <si>
    <t>The reporting is comprehensive, covering all standard performance dimensions. The authors do not hide the fact that certain data distributions (Lognormal) result in lower performance, and they provide substantive explanations for the behaviors observed in both their own index and the baselines.</t>
  </si>
  <si>
    <t xml:space="preserve"> The primary concern in this domain is the lack of reported statistical variance (error bars), which makes it difficult to assess the stability of the results. However, the use of a significant pre-warming phase is a strong positive practice for in-memory index evaluation.</t>
  </si>
  <si>
    <t>The paper is internally consistent and provides a balanced view of performance across various conditions. The absence of the source code is the most significant drawback for reproducibility, although the detailed algorithms provided in the text partially mitigate this for experienced implementers.</t>
  </si>
  <si>
    <t>RadixSpline: A single-pass learned index</t>
  </si>
  <si>
    <t>The researchers utilized the standardized SOSD benchmark to maintain experimental rigor and provided clear specifications for the hardware and baseline configurations. By tuning both the proposed and existing learned models for the same goal (latency), they minimized bias in comparative performance.</t>
  </si>
  <si>
    <t>The study avoids selection bias by employing a comprehensive benchmark suite that covers various real-world data distributions. Furthermore, the authors demonstrate transparency by analyzing and addressing cases where the model's performance was not initially optimal.</t>
  </si>
  <si>
    <t>The implementation of RadixSpline is documented with mathematical precision, focusing on its two core parameters: spline error and radix table size. The inclusion of a practical LSM-tree integration test provides strong evidence that the implementation functions as intended in a production-like environment.</t>
  </si>
  <si>
    <t>The experimental execution aligns perfectly with the paper's stated scope of being a static, single-pass index. Because the authors do not claim support for dynamic updates or concurrency, those potential sources of bias are not applicable to this specific architecture.</t>
  </si>
  <si>
    <t xml:space="preserve">The paper demonstrates high transparency by reporting all primary performance dimensions and investigating anomalous results rather than omitting them. The explicit discussion of failure modes, such as data skew, further reduces the risk of reporting bias.
</t>
  </si>
  <si>
    <t>While the benchmarks use a massive number of operations (10M lookups) to ensure average performance is representative, the lack of reported variance (error bars) and specific details on warm-up phases introduces a minor risk of measurement bias.</t>
  </si>
  <si>
    <t>The paper provides a balanced view of RadixSpline’s performance by including diverse datasets and comparing it against multiple state-of-the-art baselines. The clear explanation for missing data points (e.g., duplicates in ART) indicates a lack of selective reporting.</t>
  </si>
  <si>
    <t>APEX: A High-Performance Learned Index on Persistent Memory</t>
  </si>
  <si>
    <t>2021 (arXiv version date: Dec 6, 2021); the conference version appeared in 2022.</t>
  </si>
  <si>
    <t xml:space="preserve"> The researchers established a consistent experimental environment by providing detailed hardware specs, OS versions, and compiler settings. They ensured baseline fairness by modifying existing code to support PMDK, allowing all indexes to operate under the same persistence constraints. Dataset characteristics and hyperparameters are well-documented, supporting the reproducibility of the baseline comparisons.</t>
  </si>
  <si>
    <t>The study employs a comprehensive suite of datasets ranging from synthetic distributions to complex, real-world workloads like TPC-E. The authors avoided cherry-picking by explicitly reporting "worst-case" results where the model-based approach struggles with non-linear data. The selection covers a wide spectrum of data distributions, ensuring the index's robustness is tested against various data patterns.</t>
  </si>
  <si>
    <t>The implementation is thoroughly documented with algorithmic details and architectural diagrams that match the experimental evaluation. By providing the full source code and refining baseline implementations for a fair comparison, the authors minimize implementation bias and ensure reproducibility.</t>
  </si>
  <si>
    <t>Experimental execution is robust, utilizing standard benchmarks (TPC-E, YCSB) and clear operational mixes to test the index's dynamic capabilities. The inclusion of real-world crash emulation and thread-scaling tests up to the hardware's hyperthreading limit provides high confidence in the reported performance and reliability.</t>
  </si>
  <si>
    <t>The reporting is highly transparent, providing a multidimensional view of performance that includes both strengths and weaknesses. By detailing "worst-case" scenarios and technical limitations like key-type restrictions, the authors avoid the bias of incomplete or overly optimistic reporting.</t>
  </si>
  <si>
    <t>The experimental execution follows rigorous standards regarding environment control and overhead quantification. However, the lack of reported statistical variance (like error bars) is a notable omission that prevents a full assessment of the results' stability across multiple trials.</t>
  </si>
  <si>
    <t>There is strong evidence of reporting integrity, as the authors include all promised datasets and explicitly show cases where their method fails to beat the competition. The public release of the source code further validates that the reported results are reproducible and not the result of selective data trimming.</t>
  </si>
  <si>
    <t>FILM: a Fully Learned Index for Larger-than-Memory Databases</t>
  </si>
  <si>
    <t>The researchers established a rigorous experimental environment by using standard open-source libraries for baselines and providing specific hardware specifications. They effectively mitigated OS interference by using direct I/O to bypass the buffer pool, ensuring that performance gains were attributable to the index design rather than external caching.</t>
  </si>
  <si>
    <t>The paper provides high transparency by releasing the full source code on GitHub and including detailed pseudocode for core algorithms. The implementation is well-validated through a comprehensive performance breakdown and comparisons against properly optimized, reputable baselines.</t>
  </si>
  <si>
    <t xml:space="preserve">: Experimental execution is robust, utilizing standard benchmarks (YCSB) and a wide variety of access patterns to test the index under diverse conditions. The use of direct I/O to bypass OS caching ensures that the results reflect the performance of the index itself rather than external system artifacts.
</t>
  </si>
  <si>
    <t>The researchers provide a transparent and multi-dimensional evaluation that avoids selective reporting by documenting both the advantages and drawbacks of FILM. By explaining performance anomalies related to hardware constraints and acknowledging implementation limitations, they ensure a balanced presentation of the results.</t>
  </si>
  <si>
    <t xml:space="preserve"> Measurement bias is minimized through the use of multiple trials and reported confidence intervals, which provide insight into the statistical variance of the data. The use of an initialization phase effectively accounts for cold-start effects, ensuring that the measured throughput reflects stable operating conditions.</t>
  </si>
  <si>
    <t>There is high confidence in the reporting integrity because the authors published their source code and artifacts for public verification. They adhered strictly to their proposed methodology, providing a complete set of results for all datasets and configurations mentioned without unexplained omissions.</t>
  </si>
  <si>
    <t>RUSLI: Real-time Updatable Spline Learned Index</t>
  </si>
  <si>
    <t>The study utilizes the SOSD benchmark to ensure a standardized comparison between RUSLI and the RadixSpline baseline on identical hardware. It provides clear details on dataset sizes, key types, and the impact of configuration parameters like max_error on model size. Although specific low-level OS or compiler optimizations are not detailed, the reliance on an established benchmarking framework provides reasonable experimental control.</t>
  </si>
  <si>
    <t>The research avoids selection bias by employing the standard SOSD benchmark, which is specifically designed to provide a fair and diverse testing ground for learned indexes. The datasets chosen represent distinct real-world data shapes, ranging from nearly linear to highly stepped distributions. By reporting performance across this entire suite, the authors provide a comprehensive view of the index's utility across different data distributions</t>
  </si>
  <si>
    <t>The paper provides a high level of technical detail, including formal algorithms and structural diagrams that clearly map out the implementation of the RUSLI index. By grounding its methodology in the SOSD benchmark framework, the study ensures that its comparisons against established baselines like PGM-index and ALEX are technically sound and reproducible.</t>
  </si>
  <si>
    <t xml:space="preserve">The experimental execution is robust, utilizing multi-threaded tests to demonstrate throughput for concurrent real-time operations. While it leaves out delete operations and crash recovery, the paper is transparent about these limitations and provides precise workload parameters, such as the 50:50 read/write ratio, to validate its claims.
</t>
  </si>
  <si>
    <t xml:space="preserve">The researchers provide a transparent account of the system's performance, covering all standard industry metrics and acknowledging where the system underperforms. By explaining "counter-intuitive" results and explicitly defining the scope of the project (e.g., excluding deletes), they minimize reporting bias.
</t>
  </si>
  <si>
    <t>The lack of statistical variance reporting and missing details on experimental repetitions represent a significant risk of measurement bias. While the environmental description is solid, the absence of error bars or warm-up protocols makes it difficult to assess the stability of the reported nanosecond-scale latencies.</t>
  </si>
  <si>
    <t>The paper demonstrates high integrity in its reporting by adhering to a known benchmark and presenting results that highlight the trade-offs of the system, such as increased memory consumption. The consistency between the proposed methodology and the final results suggests a low risk of selective reporting.</t>
  </si>
  <si>
    <t>LOFT: A Lock-free and Adaptive Learned Index with High Scalability for Dynamic Workloads.</t>
  </si>
  <si>
    <t>The researchers utilized a highly controlled hardware environment and a broad set of recognized baselines to ensure comparative fairness. While explicit discussion of low-level OS/cache flushing is limited, the reporting of NUMA impacts and background thread overhead demonstrates a strong effort to control for confounding variables.</t>
  </si>
  <si>
    <t>The study employs a rigorous mix of synthetic and real-world data covering diverse skewed and uniform distributions. The inclusion of unfavorable results on "hard" datasets suggests that the workload selection was not biased toward showing only the strengths of the proposed system.</t>
  </si>
  <si>
    <t>The implementation is highly transparent, providing both high-level pseudocode and public access to the full source code. By using established baselines in their original configurations and detailing the specific machine learning algorithms used, the authors minimize implementation bias.</t>
  </si>
  <si>
    <t>The researchers utilized a rigorous experimental framework that accounts for varying thread counts and shifting workload intensities. The use of massive operation counts and a wide range of skew factors ensures the results are representative of realistic dynamic indexing scenarios.</t>
  </si>
  <si>
    <t>The paper reports a comprehensive suite of metrics across various workloads and transparently discusses its own limitations, such as lower read throughput compared to specific competitors. It also honestly identifies "hard" datasets where traditional indexing methods may outperform this learned approach.</t>
  </si>
  <si>
    <t xml:space="preserve"> While the paper meticulously describes its hardware environment and accounts for maintenance thread overhead, it lacks statistical variance reporting like error bars or confidence intervals. The high volume of operations used for each test likely stabilizes the results, but the absence of repeated-trial documentation remains a minor concern.</t>
  </si>
  <si>
    <t xml:space="preserve">The evaluation is balanced and comprehensive, featuring public source code and clear documentation of all experimental parameters. The authors do not shy away from reporting unfavorable results, such as LOFT's larger memory footprint or lower read throughput in specific scenarios.
</t>
  </si>
  <si>
    <t>Title AStore: Uniformed Adaptive Learned Index and Cache for RDMA-Enabled Key-Value Store.</t>
  </si>
  <si>
    <t>Year 2024.</t>
  </si>
  <si>
    <t xml:space="preserve"> The study maintains high experimental control by strictly limiting server CPU resources to simulate real-world bottlenecks and providing detailed hardware specifications. While it documents its own hyperparameter tuning thoroughly, it relies on standard comparative settings for baselines rather than exhaustive re-optimization for every scenario.</t>
  </si>
  <si>
    <t>The paper utilizes a diverse set of datasets and workloads that are standard in the field, ensuring the results are not limited to a single favorable data distribution. By including both real-world traces and multiple synthetic distributions (Uniform, Zipfian, and Log-normal), the authors demonstrate the robustness of the adaptive learned index across varied scenarios.</t>
  </si>
  <si>
    <t>The implementation is meticulously documented through pseudocode and mathematical cost models, making the logic highly transparent. While it lacks a public code link in the sources, the use of well-established baselines and explicit ablation studies validates that the implementation aligns with the proposed architectural design.</t>
  </si>
  <si>
    <t>The experimental execution follows a rigorous and standardized approach by using the YCSB benchmark to define clear, reproducible workload parameters. The study goes beyond basic throughput to analyze the impact of multi-threading and coroutines, providing a comprehensive view of how the system handles realistic network and concurrency constraints.</t>
  </si>
  <si>
    <t>The paper is highly transparent, reporting not just successes but also identifying specific datasets and configurations where performance fluctuates. By explaining the trade-offs between different RDMA strategies and documenting structural performance drops during node splits, the authors provide a balanced view of the system.</t>
  </si>
  <si>
    <t>There is a significant lack of information regarding the statistical rigor of the measurements, particularly the absence of error bars and details on repeated trials. While the metrics used are standard, the reporting does not confirm that common experimental safeguards like warm-up periods or variability analysis were employed.</t>
  </si>
  <si>
    <t>The paper demonstrates a high level of integrity by reporting results across all promised datasets and workloads, including cases where the system does not outperform the baseline. The alignment between the proposed methodology and the final results is strong, though the lack of a public code link prevents a higher score for reproducibility.</t>
  </si>
  <si>
    <t>An Empirical Study of Segmented Linear Regression Search in LevelDB.</t>
  </si>
  <si>
    <t>The researchers clearly identified LevelDB version 1.23 and its standard binary search as the baseline for comparison. Hardware and software environments are detailed, including specific CPU, memory, and OS versions. While they report lookup latency breakdown using specialized tools like uftrace, they provide limited discussion on specific OS-level cache clearing protocols between experimental runs.</t>
  </si>
  <si>
    <t>The paper justifies its dataset choice based on the linearity property found in real-world big data, specifically utilizing OSM and Twitter user data. However, the study relies exclusively on these two real-world datasets and lacks synthetic data to test edge cases or non-linear distributions. The assessment of "bad segments" suggests an honest appraisal of the model's limitations when data violates linearity.</t>
  </si>
  <si>
    <t>The implementation is meticulously documented through pseudocode and structural diagrams that explain how the index block was extended to include a "model area". By integrating the SLR search into the widely recognized LevelDB framework, the authors ensure the baseline is reputable and the experimental results are grounded in a standard system.</t>
  </si>
  <si>
    <t xml:space="preserve">The experimental execution is consistent with the methodology, providing quantitative data on how SLR search reduces the number of comparisons compared to binary search. The use of standard big data workloads (OSM and TUD) ensures that the testing environment reflects realistic data distributions, though the scope is limited to search performance rather than dynamic write operations.
</t>
  </si>
  <si>
    <t>The paper demonstrates high transparency by reporting distribution-based results (box plots) that include failure cases and long-tail latencies. Although it lacks a formal quantitative table for memory and training time, it provides a comprehensive lookup latency breakdown and sensitivity analysis to explain performance variations.</t>
  </si>
  <si>
    <t>Performance measurement is grounded in standardized tools like uftrace and detailed hardware specifications. The reporting of statistical distributions rather than simple averages suggests a robust measurement process, though the absence of information on warm-up periods is a minor gap in the reported methodology.</t>
  </si>
  <si>
    <t>The authors present a balanced and honest set of results, including clear evidence of where their proposed method underperforms compared to the baseline. The alignment between the promised methodology and the final reported experiments is high, and the use of publicly available datasets supports the study's reproducibility.</t>
  </si>
  <si>
    <t>PLIN: A persistent learned index for non-volatile memory with high performance and instant recovery</t>
  </si>
  <si>
    <t>The study demonstrates excellent experimental control by using official open-source implementations for all baselines and conducting tests on a precisely defined hardware environment. Potential confounders are addressed through standardized compiler flags, NUMA isolation, and a significant warm-up phase to stabilize cache effects.</t>
  </si>
  <si>
    <t>The research employs a robust variety of datasets and workloads that reflect both theoretical distributions and real-world use cases. The inclusion of an analysis on varying access skewness (Zipfian distribution) suggests the authors intended to provide a comprehensive performance profile rather than a narrow, optimized result.</t>
  </si>
  <si>
    <t xml:space="preserve"> The implementation details are exceptionally transparent, with both the high-level algorithms and the low-level data layouts clearly defined. The availability of the source code and the use of a thorough ablation study provide strong evidence that the implementation is consistent with the research design and is fully reproducible.</t>
  </si>
  <si>
    <t xml:space="preserve">The execution of the experiments is highly rigorous, utilizing industry-standard benchmarks (YCSB) and realistic thread counts. The inclusion of a "worst-case" crash consistency test during active structure-modification operations provides strong evidence for the reliability of the reported recovery performance.
</t>
  </si>
  <si>
    <t>The reporting is exceptionally thorough, covering multiple performance dimensions beyond simple throughput. The authors do not shy away from showing cases where their method is outperformed by competitors, which enhances the credibility of the overall findings.</t>
  </si>
  <si>
    <t>While the paper lacks explicit statistical variance reporting (error bars), it compensates with a very large-scale warm-up phase and a detailed breakdown of internal system overheads. The measurements are performed on real hardware (Intel Optane), which adds to the practical validity of the results.</t>
  </si>
  <si>
    <t>The paper adheres to the highest standards of reporting integrity. By including the original hybrid version of their main competitor (which outperforms PLIN in some areas) and providing full source code, the authors demonstrate a commitment to transparency and reproducibility.</t>
  </si>
  <si>
    <t>SLIN: A CPU-efficient, Hybrid Tree and Learned Index for String Data.</t>
  </si>
  <si>
    <t xml:space="preserve"> The paper establishes a high level of baseline fairness by utilizing standardized hardware and clearly defining the characteristics of the diverse 70M-entry datasets used for testing. While they attempt to align hyperparameters like the error limit across models, the assessment is slightly limited by a lack of discussion regarding low-level system controls like cache management.</t>
  </si>
  <si>
    <t>The researchers utilized a robust suite of datasets that represent both ideal conditions and the "messy" reality of string data, such as deep prefix overlaps. By reporting instances where their model underperformed against baselines, they demonstrate a commitment to comprehensive and unbiased evaluation.</t>
  </si>
  <si>
    <t>The paper provides a high-quality description of its unique hybrid architecture and justifies its design through targeted performance analysis. However, the absence of publicly available source code and detailed hyperparameter tuning for the underlying models prevents a perfect score in this domain.</t>
  </si>
  <si>
    <t>The experimental execution is highly consistent with the paper's scope of optimizing read-heavy string indexing. While it lacks evaluation for dynamic or concurrent operations, it clearly defines the parameters for its targeted static bulk-load and lookup performance.</t>
  </si>
  <si>
    <t>The paper demonstrates high integrity by reporting comparative failures and explaining the technical reasons behind them. By including an ablation study that evaluates each specific design choice, they ensure that no promised configuration is left unreported.</t>
  </si>
  <si>
    <t>While the paper provides clear output metrics for throughput and time, it lacks the procedural detail necessary to determine the precision of these measurements. Without information on multiple runs, statistical variance, or environmental stabilization (warm-ups), the reliability of the performance measurements cannot be fully verified.</t>
  </si>
  <si>
    <t>The paper scores highly in this domain due to its transparent reporting of both the strengths and weaknesses of the SLIN structure. By providing the external data sources and clearly aligning the results with the proposed methodology, the authors minimize the risk of selective reporting bias.</t>
  </si>
  <si>
    <t>LIFM: A Persistent Learned Index for Flash Memory.</t>
  </si>
  <si>
    <t>The research establishes a solid experimental foundation by using standardized hardware and a consistent on-disk implementation for all baseline comparisons. While the hardware and dataset specifications are highly detailed, the assessment is slightly obscured by a lack of information regarding environmental controls like cache management during the measurement of I/O costs.</t>
  </si>
  <si>
    <t>The paper uses a diverse set of real-world data and subjects it to an exhaustive battery of six distinct workload patterns. This multi-workload approach ensures that the index is tested under both favorable (read-only) and challenging (write-heavy) conditions, minimizing the risk of selective reporting.</t>
  </si>
  <si>
    <t xml:space="preserve">The authors provide excellent technical depth regarding the internal structure and algorithmic logic of their index, making the design highly transparent. While reproducibility is bolstered by the use of standard benchmarks and formulas, the lack of a direct link to the source code is the only significant omission.
</t>
  </si>
  <si>
    <t>The experimental execution is robust, covering a wide variety of access patterns that reflect how an index would be used in a real database system. However, the evaluation is incomplete regarding its persistence claims, as it lacks evidence of testing the index's resilience against unexpected system failures.</t>
  </si>
  <si>
    <t>The paper is highly transparent regarding its experimental matrix, reporting results for every dataset and workload combination promised. While it lacks some secondary metrics like construction time, it honestly acknowledges where the proposed method only meets—rather than exceeds—baseline performance.</t>
  </si>
  <si>
    <t>While the output metrics are clear, the procedural rigor of the measurements is undocumented. Without information on repetitions, statistical variance, or warm-up periods, it is difficult to assess the precision and reproducibility of the reported throughput and I/O counts.</t>
  </si>
  <si>
    <t>The paper demonstrates a high level of reporting integrity by providing a complete matrix of results for all promised experimental conditions. While the lack of a public code repository is a minor drawback, the use of standard benchmarks and the inclusion of neutral results (write counts) mitigates the risk of selection bias.</t>
  </si>
  <si>
    <t>Fiting-tree: A Data-aware Index Structure</t>
  </si>
  <si>
    <t>The researchers maintained high experimental integrity by using standardized hardware and well-documented baseline libraries. They further minimized confounding bias by validating their cost model against actual hardware latency and cache behaviors.</t>
  </si>
  <si>
    <t>The paper avoids selection bias by testing across a broad spectrum of non-linearity ratios and scales. By including an adversarial synthetic dataset, the authors provide a transparent look at the index's performance boundaries.</t>
  </si>
  <si>
    <t>The implementation is rigorously documented through mathematical proofs of segment size and competitive analysis. The use of established baseline libraries ensures that the "learned" component is compared against a high-quality "non-learned" standard.</t>
  </si>
  <si>
    <t>The experiments are highly consistent with the described technical design of the FITing-Tree, particularly regarding the segmentation and insertion strategies. While the paper reports performance on a per-thread basis, it lacks a deep dive into concurrent locking or latching overheads in these specific excerpts.</t>
  </si>
  <si>
    <t>The paper is transparent about its performance trade-offs, particularly through the use of a "Worst Case" evaluation and the comparison of different insertion strategies. It provides a multi-dimensional view of the index's behavior across different real-world and synthetic distributions.</t>
  </si>
  <si>
    <t>The paper provides clear hardware context and uses standard metrics, but it lacks statistical rigor in its visualizations, such as error bars. Furthermore, essential experimental protocols like warm-up periods or the number of trial repetitions are missing from the excerpts.</t>
  </si>
  <si>
    <t>The reporting appears highly balanced, as the authors provide a public link for reproducibility and show clear evidence of the trade-offs between space and performance. There is no indication of selective reporting, as the authors even include a synthetic "worst-case" scenario to test their own system's limits.</t>
  </si>
  <si>
    <t>XIndex: A Scalable Learned Index for Multicore Data Storage.</t>
  </si>
  <si>
    <t>2020 (Published February 19, 2020).</t>
  </si>
  <si>
    <t xml:space="preserve"> The researchers established a rigorous experimental environment by using a consistent hardware setup with hyperthreading disabled and providing clear descriptions of baseline configurations. Fairness is evidenced by the deliberate optimization of the primary competitor (the learned index) to ensure it represented a strong point of comparison.</t>
  </si>
  <si>
    <t>The paper utilizes a broad spectrum of data distributions and standard benchmarks, ensuring that the results are not limited to narrow, favorable conditions. The inclusion of failure modes (where XIndex is slower than baselines) adds significant credibility to the dataset selection process.</t>
  </si>
  <si>
    <t xml:space="preserve">The implementation is exceptionally well-documented through detailed pseudocode and architectural diagrams, and its reproducibility is bolstered by public source code and official ACM artifact badges. The use of optimized, reputable baselines ensures that the performance gains reported are not due to an unfair implementation of competing methods.
</t>
  </si>
  <si>
    <t>The experimental execution is highly transparent, with explicitly defined workload mixes and thread configurations that reflect real-world multi-core usage. By testing across diverse read/write ratios and skewness levels, the authors ensure the index's performance is evaluated under a variety of realistic operational stresses.</t>
  </si>
  <si>
    <t xml:space="preserve"> The paper exhibits a high degree of transparency by including a dedicated limitations section and reporting several "failure cases" where the proposed system is slower than existing baselines. This comprehensive reporting ensures that the reader understands the specific trade-offs and operational boundaries of the XIndex architecture.</t>
  </si>
  <si>
    <t>The measurement process is generally sound, particularly regarding the use of warm-up periods and thread isolation to ensure clean performance data. However, the absence of error bars or statistical variance reporting in the charts prevents a full assessment of the results' stability across multiple runs.</t>
  </si>
  <si>
    <t xml:space="preserve"> The paper demonstrates exemplary integrity in results selection, supported by third-party verification and a public code repository. The balanced presentation of both "wins" and "losses" against state-of-the-art baselines mitigates concerns regarding cherry-picking or selective reporting.</t>
  </si>
  <si>
    <t>DALdex: A DPU-Accelerated Persistent Learned Index via Incremental Learning.</t>
  </si>
  <si>
    <t xml:space="preserve"> The paper provides comprehensive hardware and software specifications, ensuring a controlled environment for testing. By utilizing open-source implementations of competitors and managing hardware-specific issues like NUMA effects, the researchers maintain high experimental control and baseline fairness.</t>
  </si>
  <si>
    <t xml:space="preserve"> The research utilizes widely recognized real-world datasets and rigorously tests them against varied access patterns, including high-skew Zipfian distributions. This variety ensures that the index's performance is not tied to a single, narrow data distribution or workload type.</t>
  </si>
  <si>
    <t>The implementation is described with high technical rigor, providing both the mathematical logic for incremental learning and the structural details of the hybrid memory architecture. Public code availability and the use of validated baseline implementations further minimize the risk of implementation bias.</t>
  </si>
  <si>
    <t>The experimental execution is comprehensive, testing the index under standardized benchmarks and stress-testing it with realistic crash scenarios. By providing detailed thread-scaling data and testing across multiple data distributions, the authors demonstrate that the experimental results are robust and well-documented.</t>
  </si>
  <si>
    <t>The paper is highly transparent, reporting across multiple dimensions of performance and memory usage. It avoids the common trap of only showing "winning" scenarios by explicitly discussing and explaining cases where it underperforms competitors or relies on mathematical approximations to remain viable.</t>
  </si>
  <si>
    <t>The paper follows standard system benchmarking protocols but lacks statistical rigor in its reporting, as it omits the number of trials and variance data (error bars). However, the clear description of the hardware/software environment and the pre-loading of benchmarks provide a solid foundation for the measurements.</t>
  </si>
  <si>
    <t>The research demonstrates integrity in reporting by including comparisons where DALdex is not the top performer and providing a public repository for verification. There is no evidence of "cherry-picking," as the index is tested against all promised datasets and workloads.</t>
  </si>
  <si>
    <t>Accelerating String-key Learned Index Structures via Memoization-based Incremental Training.</t>
  </si>
  <si>
    <t xml:space="preserve"> The authors provide a high level of transparency regarding their experimental setup, utilizing identical hardware across all tests and clearly defining the software libraries used for baselines. Fairness is particularly evident in their effort to modernize older learned index baselines with string and multi-threading support to provide a relevant comparison.</t>
  </si>
  <si>
    <t>The researchers utilized a robust mix of synthetic benchmarks and real-world data sources to validate their system across varying string lengths and access patterns. The inclusion of diverse request distributions (Zipfian, hotspot, etc.) and industry-standard traces from Twitter demonstrates a comprehensive evaluation strategy that minimizes selection bias.</t>
  </si>
  <si>
    <t>The implementation is described with a high degree of transparency, supported by pseudocode and detailed hardware microarchitecture specifications. The commitment to reproducibility is evidenced by the public code release and the careful optimization of baseline systems to ensure fair performance comparisons.</t>
  </si>
  <si>
    <t>The experimental execution is robust, utilizing a mix of synthetic and industry-standard real-world workloads with clearly defined parameters. The authors provide a detailed analysis of thread interactions and query ratios, ensuring that the dynamic nature of the index is tested under realistic and transparent conditions.</t>
  </si>
  <si>
    <t xml:space="preserve"> The paper provides a comprehensive and transparent reporting of results, covering a wide array of metrics and configurations. The authors are particularly forthright about the limitations of their approach regarding deletions and the performance gaps of base learned indexes on specific workloads.</t>
  </si>
  <si>
    <t xml:space="preserve"> The measurement methodology is generally sound, with clear descriptions of hardware power meters and evidence of repeated trials in power reporting. However, the lack of variance markers in throughput graphs and the absence of a discussion on measurement overhead prevent a perfect score.</t>
  </si>
  <si>
    <t>The paper demonstrates a high standard of reporting integrity, with no evidence of cherry-picking results. The inclusion of unfavorable comparisons and the public release of all experimental materials strongly mitigate the risk of selection bias.</t>
  </si>
  <si>
    <t>SIndex: A Scalable Learned Index for String Keys.</t>
  </si>
  <si>
    <t>Year: 2020.</t>
  </si>
  <si>
    <t>The researchers maintained high experimental control by using a consistent, specified hardware environment and reporting results only after a warm-up period. While baseline methods were used with default settings rather than exhaustive custom tuning, the clear description of dataset characteristics and the inclusion of multiple state-of-the-art counterparts support a fair comparative framework.</t>
  </si>
  <si>
    <t xml:space="preserve"> The researchers included a diverse range of string lengths and both synthetic and real-world data to test the scalability of their index. The inclusion of results where SIndex underperforms relative to a competitor indicates a lack of cherry-picking and a commitment to a transparent evaluation of the structure's limitations.</t>
  </si>
  <si>
    <t>The researchers provided high transparency by open-sourcing their code and including pseudocode for their primary algorithms. The use of an ablation study further validates that the implementation accurately reflects the proposed design, though the training procedure for the linear models is described at a high level rather than with exhaustive mathematical detail.</t>
  </si>
  <si>
    <t>The experimental execution is robust, covering a wide variety of operation mixes and thread counts that are consistent with the paper's claims of being a concurrent, updatable index. Every major performance claim is backed by a specific test scenario with clearly defined parameters.</t>
  </si>
  <si>
    <t>The researchers demonstrate high transparency by dedicating significant portions of the evaluation to analyzing and explaining why SIndex underperforms in certain scenarios. They provide a balanced view by showing that while the system excels with random distributions, it has clear limitations regarding complex real-world data and write-heavy concurrency.</t>
  </si>
  <si>
    <t xml:space="preserve"> The primary concern in this domain is the complete lack of statistical variance reporting, such as error bars, which makes it difficult to assess the stability of the reported throughput. However, the explicit use of a warm-up phase to reach a steady state suggests a standard level of care was taken to avoid cold-start bias.</t>
  </si>
  <si>
    <t>The authors avoided selective reporting by including a broad range of benchmarks that show both the strengths and weaknesses of their design. The inclusion of an open-source link and a detailed performance breakdown further mitigates the risk of results selection bias.</t>
  </si>
  <si>
    <t>LearnedKV: Integrating LSM and Learned Index for Superior Performance on Storage.</t>
  </si>
  <si>
    <t>2025 (based on the provided arXiv v2 date of April 11, 2025).</t>
  </si>
  <si>
    <t xml:space="preserve"> The researchers established high experimental control by using a standardized testbed and ensuring that all baselines were modified to share the same underlying KV-separation and GC mechanisms. Fairness was further supported by explicit statements regarding hyperparameter optimization and the use of identical memory constraints across competing models.</t>
  </si>
  <si>
    <t xml:space="preserve"> The paper demonstrates a low risk of selection bias by employing a wide variety of both synthetic and real-world datasets that represent diverse data distributions and access patterns. Testing across multiple read/write ratios and storage media indicates a comprehensive attempt to validate the system under different operational scenarios.</t>
  </si>
  <si>
    <t>The researchers provide a granular description of the Greedy-PLR+ model and the overall tiered architecture, ensuring that the integration of the Learned Index is transparent. Fairness is prioritized by optimizing baseline models to use the same storage-saving techniques (KV separation) as the proposed system.</t>
  </si>
  <si>
    <t>The experimental execution is highly robust, utilizing a wide range of realistic workload ratios and standardized benchmarks like YCSB and SOSD. The paper maintains high transparency regarding workload parameters, though more detailed testing of crash-recovery performance would further strengthen the durability claims.</t>
  </si>
  <si>
    <t>The paper exhibits high transparency by reporting a wide array of performance dimensions, including clear evidence of trade-offs where specific optimizations (like Bloom filters) negatively impact certain metrics. The inclusion of results for all promised configurations across different storage media further mitigates reporting bias.</t>
  </si>
  <si>
    <t xml:space="preserve"> While the experimental protocol is rigorous—using distinct phases to reach a steady state and large-scale workloads to ensure reliability—the lack of statistical measures like error bars in the charts introduces some concern regarding the reporting of performance variability.</t>
  </si>
  <si>
    <t>There is no evidence of cherry-picking; the authors present a balanced view that includes both the strengths of the system (read acceleration) and its secondary effects (write overhead in specific optimizations). The results align perfectly with the goals and methodology stated earlier in the paper.</t>
  </si>
  <si>
    <t>SwiftKV: A Metadata Indexing Scheme Integrating LSM-Tree and Learned Index for Distributed KV Stores.</t>
  </si>
  <si>
    <t>2025 (Published 30 August 2025).</t>
  </si>
  <si>
    <t xml:space="preserve"> The study demonstrates strong experimental control by using identical hardware and providing specific version numbers for all baseline software. Although it accounts for indexing isolation by preloading data, more explicit detail on low-level system cache management would further minimize potential confounding bias.</t>
  </si>
  <si>
    <t xml:space="preserve"> The authors employed a broad spectrum of data distributions that simulate various real-world scenarios, from bursty updates to spatial correlations. Their transparency in reporting the limited effectiveness of the index on the FB dataset reinforces the integrity of their selection process.</t>
  </si>
  <si>
    <t>The implementation is backed by rigorous algorithmic transparency, including pseudocode and clear structural definitions of the two-level index. While the exact source code repository is not linked, the use of reputable baselines and detailed ablation studies ensures the implementation aligns with the proposed design.</t>
  </si>
  <si>
    <t xml:space="preserve"> The experimental execution is robust, utilizing standardized benchmarks (YCSB) and detailed thread-scaling tests to prove concurrency efficiency. The inclusion of realistic metadata access patterns from Amazon and Wikipedia ensures the workloads are representative of production environments, although more explicit recovery testing would provide a complete performance profile.</t>
  </si>
  <si>
    <t xml:space="preserve"> The reporting is exceptionally transparent, providing a multidimensional view of performance. By documenting and explaining performance trade-offs and "failure" cases like YCSB-E, the authors demonstrate a lack of reporting bias.</t>
  </si>
  <si>
    <t xml:space="preserve"> The measurement methodology is robust regarding timing mechanisms and the isolation of indexing performance. However, the absence of error bars or variance reporting in the figures represents a minor concern for assessing the stability of the results across runs.</t>
  </si>
  <si>
    <t xml:space="preserve"> The paper exhibits no evidence of cherry-picking, as it faithfully reports results for all datasets and workloads, including those where the proposed method provides no advantage. The high level of alignment between the methodology and results ensures a low risk of selective reporting bias.</t>
  </si>
  <si>
    <t>From wisckey to bourbon: A learned index for log-structured merge trees</t>
  </si>
  <si>
    <t>The researchers established a highly controlled experimental environment, utilizing a reputable high-performance baseline (WiscKey) and clearly defining hardware and dataset parameters. Potential confounding variables like caching and background thread interference were not only acknowledged but systematically integrated into the performance analysis.</t>
  </si>
  <si>
    <t xml:space="preserve">The study employs a comprehensive suite of workloads that includes standard benchmarks and diverse data distributions. By reporting both the strengths and the limitations of their system—particularly in write-heavy environments—the authors demonstrate a balanced and non-selective presentation of data.
</t>
  </si>
  <si>
    <t>The implementation is highly transparent, with its reproducibility verified through formal artifact evaluation. The integration of the learned index into a production-quality system rather than a standalone prototype significantly reduces the risk of implementation bias.</t>
  </si>
  <si>
    <t>The execution of experiments is highly consistent with the stated methodology, utilizing industry-standard benchmarks like YCSB. The paper provides detailed operation mixes, though it focuses more on the efficiency of the learned index than on concurrent thread scaling or failure recovery.</t>
  </si>
  <si>
    <t>The reporting is comprehensive and transparent, notably including cases where the proposed system fails to outperform the baseline. The authors also clearly delineate the current technical boundaries of their implementation, such as key-type restrictions.</t>
  </si>
  <si>
    <t>While the measurement methodology is rigorous in its breakdown of latency components, the lack of reported statistical variance (error bars) is a notable omission. However, the use of very large operation counts and a built-in cost-benefit analyzer mitigates concerns regarding measurement reliability.</t>
  </si>
  <si>
    <t>The selection of results appears unbiased, supported by the official USENIX artifact reproduction and the inclusion of data points where the system's benefits are minimal. There is clear alignment between the experimental plan and the final reported data.</t>
  </si>
  <si>
    <t>High Performance or Low Memory? An Updatable Learned Index Framework for Time-Space Tradeoff,.</t>
  </si>
  <si>
    <t>2025,.</t>
  </si>
  <si>
    <t>The researchers utilized a standardized benchmarking tool (GRE) and provided clear hardware specifications to maintain experimental control. The inclusion of a wide array of both traditional and learned index baselines, alongside theoretical modeling of cache effects, suggests a high level of fairness in the experimental design.</t>
  </si>
  <si>
    <t>The paper demonstrates a comprehensive selection of datasets by including "hard-to-fit" real-world data and specifically testing against adversarial workloads that cause other indexes to fail. The transparency regarding LIFT's trade-offs, such as longer bulk loading times compared to some baselines, further indicates a lack of selection bias.</t>
  </si>
  <si>
    <t xml:space="preserve"> The implementation is thoroughly documented through both high-level descriptions and formal algorithms (pseudocode). The availability of the source code on GitHub and the use of a standardized benchmarking suite (GRE) provide strong evidence of transparency and reproducibility in the methodological implementation.</t>
  </si>
  <si>
    <t xml:space="preserve"> The experiments are comprehensive, covering single-threaded and multi-threaded scenarios across multiple real-world datasets with clearly defined operation mixes. The inclusion of adversarial workloads to test structural robustness demonstrates a rigorous approach to evaluating the "dynamic" claims of the index beyond standard uniform distributions.</t>
  </si>
  <si>
    <t>The authors demonstrate high transparency by reporting a wide array of metrics and identifying scenarios where LIFT is outperformed, such as in bulk loading speed. They also provide clear explanations for structural vulnerabilities in competing models and the infrequent need for global reconstructions in their own.</t>
  </si>
  <si>
    <t>The measurement process is standardized via the GRE benchmark and repeated across multiple runs to ensure the stability of the reported averages. However, the assessment is slightly lowered because the reporting lacks statistical indicators of variance (like error bars), and there is no explicit mention of warm-up protocols to handle cold-start variability.</t>
  </si>
  <si>
    <t xml:space="preserve"> The paper exhibits high transparency by reporting results for all datasets mentioned and providing public access to the source code and supplemental data for reproducibility. The authors do not shy away from reporting unfavorable results, such as LIFT's slower bulk loading times compared to some baselines, which suggests a lack of selective reporting bias.
</t>
  </si>
  <si>
    <t>Leaderkv: Improving read performance of kv stores via learned index and decoupled kv table</t>
  </si>
  <si>
    <t>The study maintains a high degree of experimental control by using a unified hardware setup and standardized baselines. The transparency regarding the hyperparameter tuning for LeaderKV and the use of default settings for established baselines suggests a fair and rigorous comparison.</t>
  </si>
  <si>
    <t xml:space="preserve">The researchers used a diverse mix of standardized synthetic and real-world datasets to ensure the system was tested against varying levels of data complexity. While the fixed key size is a noted limitation, the broad application of YCSB workloads and SOSD benchmarks indicates a lack of selective reporting or dataset cherry-picking.
</t>
  </si>
  <si>
    <t>The researchers provided exceptional clarity regarding the internal logic of the system by including three distinct algorithms for construction and querying. The use of standardized regression techniques (OLS/PLR) and industry-recognized baselines ensures that the implementation is both grounded in established theory and compared against robust competitors.</t>
  </si>
  <si>
    <t>LeaderKV demonstrates strong experimental rigor by utilizing the standard YCSB and SOSD benchmarks across six different data distributions. Although explicit crash-consistency testing is not detailed in the excerpts, the inclusion of balanced and write-heavy workloads provides a realistic evaluation of the system’s performance in dynamic environments.</t>
  </si>
  <si>
    <t xml:space="preserve"> LeaderKV's evaluation is highly transparent, featuring a dedicated limitations section and an honest reporting of instances where it does not outperform the baselines. The inclusion of a wide variety of metrics across all promised datasets indicates a very low risk of reporting bias.</t>
  </si>
  <si>
    <t>While the hardware environment is precisely controlled, there is a lack of reported statistical rigor. The absence of error bars, information on repeated runs, or explicit warm-up protocols makes it difficult to assess the stability and variance of the reported performance gains.</t>
  </si>
  <si>
    <t>The research shows a high level of integrity by adhering strictly to its methodological promises and presenting a balanced view of performance across various workloads. However, the lack of a public code link in the sources prevents this domain from receiving a perfect score for reproducibility.</t>
  </si>
  <si>
    <t>ShapeShifter: Workload-Aware Adaptive Evolving Index Structures Based on Learned Models</t>
  </si>
  <si>
    <t>The paper provides detailed hardware specifications (Intel Xeon Silver 4216, 503GB DRAM) and utilizes the GRE benchmarking tool to compare ShapeShifter against five state-of-the-art traditional and learned index baselines. While explicit details on low-level environment controls like cache clearing are limited, the researchers clearly define dataset sizes (e.g., 200M keys) and use standardized Zipfian distribution parameters to ensure experimental control across all tests.</t>
  </si>
  <si>
    <t xml:space="preserve"> ShapeShifter is evaluated using four distinct real-world datasets (COVID, LIBIO, GENOME, and OSM) covering various domains like social media and geographic data. The evaluation is comprehensive because it includes the OSM dataset, where the authors openly acknowledge their model does not achieve state-of-the-art latency due to the dataset's strong non-linear characteristics, suggesting a balanced presentation rather than cherry-picked results. While the datasets themselves are real-world, the workload skews are synthetically controlled via Zipfian distributions to test robustness under extreme conditions.</t>
  </si>
  <si>
    <t>The sources provide comprehensive algorithmic pseudocode for key operations, including lookup, insertion, range queries, and deletions. The paper details the specific mathematical models used for hot/cold node classification and the "stretching" of the Cumulative Distribution Function (CDF) to reduce prediction errors. While the paper notes the implementation was done in ~4k lines of C++, it does not provide a public code repository link in the provided excerpts.</t>
  </si>
  <si>
    <t xml:space="preserve"> The experiments align with the described methodology, specifically showcasing how throughput increases as the index evolves over time in response to hot nodes. Workload parameters are highly detailed, utilizing Zipfian distributions (e.g., α = 1) and specific skew percentages (e.g., WW30 for 30% range insertions) to test the index under diverse conditions. While the paper does not focus on concurrency or crash recovery, it does provide a robustness test against poisoning attacks, where ShapeShifter successfully resisted an out-of-memory (OOM) crash that caused the state-of-the-art ALEX index to fail.</t>
  </si>
  <si>
    <t>The paper provides a comprehensive set of metrics, including average and tail latency, throughput, and index size across multiple datasets. The authors are transparent about performance limitations, specifically noting that ShapeShifter is not state-of-the-art on the OSM dataset due to its complex non-linear characteristics. Furthermore, they explain unexpected throughput behavior during initial evolution stages, attributing it to the amortized costs of Structure Modification Operations (SMOs).</t>
  </si>
  <si>
    <t xml:space="preserve"> While the hardware environment and benchmarking tools (GRE) are well-defined, the provided sources do not display error bars or confidence intervals in the performance plots. There is no explicit mention of the number of experimental runs or specific warm-up procedures, though the authors emphasize that their sensing model is lightweight to minimize measurement impact on performance.
</t>
  </si>
  <si>
    <t>The results are consistently reported for all four mentioned datasets (COVID, LIBIO, GENOME, OSM) across both read and write workloads. The authors present unfavorable tail latency comparisons in the OSM dataset, acknowledging where traditional indexes maintain greater stability. However, the sources do not provide a link to the source code or the specific 4,000 lines of C++ implementation, which limits direct reproducibility.</t>
  </si>
  <si>
    <t>XStore: Fast RDMA-Based Ordered Key-Value Store Using Remote Learned Cache</t>
  </si>
  <si>
    <t>The paper demonstrates high experimental rigor by using a unified framework to compare XStore against baselines on identical high-performance hardware. Confounding factors like hardware resource allocation and dataset distributions are clearly documented and controlled to ensure fair performance measurement.</t>
  </si>
  <si>
    <t>The selection of datasets is comprehensive, spanning standard synthetic benchmarks and authentic production traces to validate the system's versatility. By evaluating a wide array of distributions and reporting on both strengths and hardware-level bottlenecks, the paper provides a balanced and credible assessment of XStore’s performance.</t>
  </si>
  <si>
    <t>The paper provides exceptional technical detail regarding its internal data structures (XTree and XCache) and the mathematical frameworks used for its models. By using standard libraries and well-documented pseudocode, the researchers ensure the logic of the system is transparent and compared fairly against established baselines.</t>
  </si>
  <si>
    <t>The experimental execution is highly rigorous, utilizing industry-standard benchmarks and production traces to test the system's limits. The researchers provide clear specifications for their concurrency and durability models, ensuring the performance results are grounded in realistic operational constraints.</t>
  </si>
  <si>
    <t>The paper provides a highly transparent and multi-dimensional reporting of XStore’s capabilities, covering all standard performance vectors. By documenting significant performance penalties in specific hardware or data configurations, the authors demonstrate a commitment to honest and complete disclosure.</t>
  </si>
  <si>
    <t>The paper excels at quantifying internal system overheads, providing a clear picture of the trade-offs involved in features like durability. However, the omission of statistical variance measures (like error bars) and explicit details on repetition counts leaves some room for uncertainty regarding the precise stability of the reported peaks.</t>
  </si>
  <si>
    <t xml:space="preserve">The paper demonstrates excellent alignment between its stated methodology and its reported results, showing no signs of cherry-picking data. The authors provide a balanced view by including real-world production workloads and acknowledging the conditions under which their system’s advantages are minimized.
</t>
  </si>
  <si>
    <t>Learned Indexes for a Google-scale Disk-based Database</t>
  </si>
  <si>
    <t>Low</t>
  </si>
  <si>
    <t>The paper provides a strong comparison by using a battle-tested production system (Bigtable) as the baseline rather than a "strawman". It demonstrates high awareness of environmental confounding factors like cache eviction and load-balancing that impact disk-based systems.</t>
  </si>
  <si>
    <t>Serious</t>
  </si>
  <si>
    <t>While the paper successfully demonstrates the model's utility in a production environment, the evaluation is limited by a lack of diversity in the datasets presented, relying largely on synthetic random distributions.</t>
  </si>
  <si>
    <t>The technical implementation is described with high clarity, particularly regarding how the authors adapted learned indexes to work with block-based storage rather than continuous memory arrays. The use of a standard OLS model ensures that the training procedure is well-understood and reproducible in theory, even if the system code is proprietary.</t>
  </si>
  <si>
    <t>Moderate</t>
  </si>
  <si>
    <t>The experimental execution is clearly defined regarding read workloads and environmental setup. However, it lacks a thorough evaluation of dynamic data operations (inserts/updates), which is a common area of concern for learned indexes.</t>
  </si>
  <si>
    <t>The paper focuses heavily on the "cascading benefits" and positive outcomes of the implementation. The lack of negative results or a detailed limitations section suggests a reporting bias toward favorable outcomes.</t>
  </si>
  <si>
    <t xml:space="preserve">While the high-level metrics are clear, the total lack of statistical variance reporting (error bars) and details on the number of trials represents a significant gap in the performance measurement methodology.
</t>
  </si>
  <si>
    <t>The paper demonstrates "best-case" results for a production system but limits its reporting to favorable data. The proprietary nature of the system prevents independent verification, which is a standard constraint for industrial research but a bias factor in this framework.</t>
  </si>
  <si>
    <t>NFL: robust learned index via distribution transformation</t>
  </si>
  <si>
    <t>The researchers maintained high experimental control by using standardized hardware, a single compiler version, and publicly available baselines with their default configurations. The detailed description of dataset characteristics and the use of single-threaded execution further reduce the risk of unfair comparison or hidden confounding factors.</t>
  </si>
  <si>
    <t>The evaluation utilizes a comprehensive suite of datasets that represent the standard benchmarks in the field, including both synthetic and diverse real-world distributions. The inclusion of results where the primary contribution (the NF transformation) is intentionally disabled for fairness demonstrates a lack of selection bias and a commitment to robust reporting.</t>
  </si>
  <si>
    <t xml:space="preserve"> The researchers provided exceptional transparency by releasing their source code and utilizing pseudocode for core algorithmic logic. The detailed specification of neural network parameters for the Normalizing Flow and the clear comparison between the standalone index and the full framework demonstrate a highly rigorous implementation process.</t>
  </si>
  <si>
    <t>The experimental execution is robust, utilizing standard benchmark datasets and clearly defined read/write ratios that represent common database workloads. By detailing the sampling distributions and the exact split between loading and execution phases, the authors ensure the results are both reproducible and relevant to real-world dynamic indexing scenarios.</t>
  </si>
  <si>
    <t>The paper demonstrates high transparency by reporting a wide array of metrics and openly discussing the limitations and overheads of the proposed framework. The authors' decision to highlight and explain scenarios where their primary contribution (the NF) provides a negative return on throughput indicates a low risk of reporting bias.</t>
  </si>
  <si>
    <t>The researchers implemented standard rigorous practices such as multiple experimental runs and a controlled single-threaded environment to minimize noise. However, the reporting lacks formal statistical variance measures like error bars, which would further strengthen the reliability of the performance claims.</t>
  </si>
  <si>
    <t>There is no evidence of cherry-picking results, as the authors include unfavorable comparisons regarding index size and write performance. The availability of the source code and the consistent reporting across all datasets mentioned in the methodology provide strong evidence against selection bias.</t>
  </si>
  <si>
    <t>The Concurrent Learned Indexes for Multicore Data Storage</t>
  </si>
  <si>
    <t>The paper maintains strong experimental control by using reputable baseline implementations and clearly defining the hardware and dataset parameters. It demonstrates fairness by optimizing the original learned index baseline rather than using a "strawman" configuration.</t>
  </si>
  <si>
    <t xml:space="preserve">The researchers utilized a comprehensive mix of synthetic and real-world data across a broad spectrum of distributions and key types. The inclusion of results where the proposed system does not achieve top performance suggests a lack of selection bias.
</t>
  </si>
  <si>
    <t>The implementation is highly transparent, supported by extensive pseudocode and a publicly accessible code repository. The use of factor analysis and linearizability proofs further confirms that the implementation aligns with the theoretical design.</t>
  </si>
  <si>
    <t>The paper provides a highly transparent experimental setup that aligns perfectly with its architectural claims. It uses realistic, standard benchmarks (YCSB, TPC-C) and explicitly defines operation mixes and thread configurations.</t>
  </si>
  <si>
    <t>Reporting is comprehensive and balanced, showing both the strengths and weaknesses of the system. The inclusion of tail latency and a performance breakdown for individual optimizations demonstrates a lack of selective reporting.</t>
  </si>
  <si>
    <t>While the warmup procedures and hardware descriptions are standard and clear, the assessment is slightly lowered by the omission of error bars or statistical variance reporting in the charts.</t>
  </si>
  <si>
    <t>The authors exhibit a high level of scientific integrity by providing an open-source link and including datasets/workloads where their system is not the top performer, ensuring a balanced evaluation.</t>
  </si>
  <si>
    <t>LITS: An Optimized Learned Index for Strings (An Extended Version)</t>
  </si>
  <si>
    <t xml:space="preserve"> The paper provides high transparency by detailing the exact hardware specifications, operating system, and compiler flags used for all tests. Furthermore, the inclusion of source code links for baseline methods and the proactive measures taken to avoid NUMA effects demonstrate a strong commitment to experimental control.</t>
  </si>
  <si>
    <t xml:space="preserve"> The researchers employed a robust set of 11 datasets that represent a broad spectrum of real-world and synthetic string data. By testing against multiple YCSB workloads and different distributions (Uniform and Zipfian), they provided a balanced view of the index's performance across various scenarios.</t>
  </si>
  <si>
    <t>The paper excels in structural transparency by providing formal algorithms and pseudocode for every major operation. By using established baseline code and documenting specific modifications, the authors ensure the comparative framework is technically sound.</t>
  </si>
  <si>
    <t xml:space="preserve">The execution follows industry-standard benchmarking (YCSB) and explores dynamic operations and concurrency, providing a realistic view of how the index handles active data. However, the absence of crash-recovery analysis leaves one aspect of experimental execution unaddressed.
</t>
  </si>
  <si>
    <t>Reporting is exceptionally comprehensive, covering both space and time dimensions across diverse workloads. The inclusion of negative results where the proposed method does not significantly outperform the baseline adds high credibility to the reporting.</t>
  </si>
  <si>
    <t xml:space="preserve">The measurement of algorithmic overhead is a strong point, but the lack of reported statistical variance (error bars) and details on repeated trials represents a gap in standard performance measurement reporting.
</t>
  </si>
  <si>
    <t>The paper provides a balanced and complete evaluation by adhering to the datasets and methods promised in its introduction. Showing cases where traditional tries perform better on complex string prefixes indicates a lack of selective reporting bias.</t>
  </si>
  <si>
    <t>WIPE: A Write-Optimized Learned Index for Persistent Memory</t>
  </si>
  <si>
    <t>The researchers maintained high experimental control by using identical hardware and modifying existing DRAM-based learned indexes to work on NVM to ensure fair performance comparisons. Baseline configurations and dataset characteristics are explicitly detailed to allow for comparative transparency.</t>
  </si>
  <si>
    <t>The study utilizes a robust mix of real-world and synthetic data to test the index under varying conditions. The inclusion of datasets where certain baselines failed demonstrates a commitment to a comprehensive evaluation rather than selective reporting.</t>
  </si>
  <si>
    <t>The implementation is transparently shared through open-source code and highly detailed architectural descriptions in the text. The use of reputable baselines and thorough sensitivity testing further supports the integrity of the implementation.</t>
  </si>
  <si>
    <t xml:space="preserve">The experimental execution tightly follows the described methodology, covering a comprehensive range of dynamic operations, concurrency levels, and crash scenarios. The use of multiple standardized datasets and specific thread-count scaling ensures the performance claims are tested under realistic stress.
</t>
  </si>
  <si>
    <t>Reporting is highly transparent, particularly regarding the system's limitations with non-linear data distributions and string keys. The inclusion of space efficiency and write amplification alongside throughput provides a multidimensional view of the index's performance.</t>
  </si>
  <si>
    <t>While the experimental environment and warm-up procedures are documented, the lack of reported statistical variance (error bars) makes it difficult to assess the stability of the results across runs. However, the use of a real NVM device (Intel Optane) lends significant weight to the measurements.</t>
  </si>
  <si>
    <t>The paper demonstrates a high standard for selection bias by including a public code repository and reporting results that do not always favor WIPE. The comprehensive use of all mentioned datasets prevents the appearance of "cherry-picking" optimal results.</t>
  </si>
  <si>
    <t>ALT-Index: A Hybrid Learned Index for Concurrent Memory Database Systems</t>
  </si>
  <si>
    <t>The paper provides a high level of transparency regarding the hardware and software environment, including specific CPU models and the decision to disable hyperthreading for consistent results. Baseline implementations are sourced from reputable peer-reviewed works, and the researchers utilized established benchmarks and dataset sizes to ensure experimental rigor.</t>
  </si>
  <si>
    <t xml:space="preserve"> The researchers utilized a comprehensive set of workloads that reflect various real-world usage scenarios, including heavy-write and skewed-read patterns. By testing across four distinct real-world datasets from the SOSD benchmark, they demonstrated that the performance gains of the ALT-index are not isolated to a single, favorable data distribution.</t>
  </si>
  <si>
    <t xml:space="preserve"> The technical implementation of the ALT-index is thoroughly documented through both high-level architectural descriptions and low-level pseudocode for critical algorithms. Although the lack of a source code link limits direct reproducibility, the inclusion of internal analysis and detailed workflow descriptions for operations like "Search and Insert" provides strong evidence of a rigorous implementation process.</t>
  </si>
  <si>
    <t>The execution of the experiments is highly consistent with the technical design, particularly regarding the handling of high-concurrency environments. The use of varied, industry-standard workload patterns (like those found in YCSB) ensures that the performance data reflects diverse and realistic operational scenarios.</t>
  </si>
  <si>
    <t xml:space="preserve">The paper exhibits high reporting integrity by including a specific section for limitations and presenting data where the proposed method is not the top performer. The inclusion of tail latency and memory overhead alongside throughput provides a multidimensional view of the system's efficiency.
</t>
  </si>
  <si>
    <t>While the hardware environment is well-controlled to minimize external noise, the lack of statistical measures like error bars or confidence intervals is a notable omission. The absence of explicit details regarding warm-up periods and specific timing calls leaves some uncertainty about the absolute precision of the measurements.</t>
  </si>
  <si>
    <t>The authors present a balanced view of the ALT-index, including its weaknesses in memory and scan performance. The primary risk in this domain is the lack of open-source code, which prevents independent verification of the results, despite the use of standard benchmarks.</t>
  </si>
  <si>
    <t>A Dynamic Characteristic Aware Index Structure Optimized for Real-world Datasets</t>
  </si>
  <si>
    <t xml:space="preserve"> The paper exhibits strong experimental control by using consistent hardware, detailing environment specifications, and ensuring baselines were not "strawman" implementations by modifying them to support modern operations like in-place updates. While minor details like compiler flags are omitted, the depth of dataset characterization and baseline configuration provides a very low risk of confounding bias.</t>
  </si>
  <si>
    <t xml:space="preserve"> Dataset selection is central to the paper’s thesis, and the authors use a rigorous, quantitative framework to justify their choices. By testing across a spectrum of real-world and synthetic scenarios—and openly reporting when the proposed structure is not the top performer—the risk of selection bias is effectively mitigated.
</t>
  </si>
  <si>
    <t>The high level of transparency regarding the source code, algorithmic logic, and model adjustments ensures that the implementation is verifiable. The inclusion of a "Parameter Effect" section serves as a thorough validation of the internal design, ensuring that the performance gains are attributed to the intended architectural innovations.</t>
  </si>
  <si>
    <t>The experimental execution is highly transparent, utilizing standardized benchmarking frameworks (YCSB) and clearly defined operational ratios. The detailed reporting of multi-threaded configurations and the inclusion of deletion-specific workloads demonstrate a rigorous approach to testing dynamic index performance.</t>
  </si>
  <si>
    <t>There is no evidence of "success-only" reporting; the authors consistently include data where their proposed index is not the top performer. The extensive discussion of memory overhead and the reporting of baseline failures further enhance the honesty and completeness of the report.</t>
  </si>
  <si>
    <t xml:space="preserve"> The measurement methodology is generally robust, particularly with the inclusion of tail latency analysis and repeated experimental runs. The lack of error bars in the figures is a minor reporting omission, but the duration of the tests and the use of professional profiling tools provide a solid foundation for the performance claims.</t>
  </si>
  <si>
    <t xml:space="preserve"> The paper adheres to high standards of transparency. The alignment between the methodology and results is seamless, and the public availability of the code significantly reduces the risk of biased result selection. The authors’ willingness to show DyTIS losing to older baselines in specific contexts (like uniform data) is a strong indicator of unbiased reporting.</t>
  </si>
  <si>
    <t>TieredKV: A Tiered LSM-Learned Index Design for Superior Performance on Storage</t>
  </si>
  <si>
    <t>The study maintains strong experimental control by using a standardized testbed and ensuring that baseline comparisons are "apples-to-apples" through the modification of non-native KV-separated systems. Performance optimizations were applied across all models to prevent "strawman" comparisons.</t>
  </si>
  <si>
    <t>The paper uses a wide array of workloads that reflect both synthetic industry standards and complex real-world data patterns. It avoids cherry-picking by reporting performance across different storage media and acknowledging cases where certain optimizations provide only modest benefits.</t>
  </si>
  <si>
    <t>The technical implementation is thoroughly documented, particularly the novel integration of index construction with the garbage collection process. While the source code is not explicitly linked in the excerpts, the depth of the time-breakdown analysis provides strong evidence of a robust, working implementation.</t>
  </si>
  <si>
    <t>The paper provides a highly detailed execution plan with realistic workloads and clearly defined parameters. While it outlines the architectural necessity of crash consistency and multi-threading, it lacks explicit data from failure-injection stress tests in the provided excerpts.</t>
  </si>
  <si>
    <t>Reporting is comprehensive, covering multiple performance dimensions and providing explanations for performance trade-offs. The authors are transparent about minor performance penalties associated with specific system optimizations.</t>
  </si>
  <si>
    <t>The measurement methodology is standard for the field but suffers from a lack of statistical rigor in reporting, particularly regarding error bars and the number of runs. However, the use of distinct loading phases suggests care in separating initialization from measurement.</t>
  </si>
  <si>
    <t>The paper demonstrates strong alignment between its methodological promises and the reported results across diverse datasets. The main gap in this domain is the absence of a public code repository in the provided text to ensure full reproducibility.</t>
  </si>
  <si>
    <t>DTtree: A Novel Read/Write-Optimized Learned Index for Database Systems</t>
  </si>
  <si>
    <t>The researchers provide a highly detailed account of the hardware environment and dataset characteristics, ensuring a controlled baseline. However, there is a lack of information regarding the specific optimization efforts applied to the baseline methods, which leaves some room for uncertainty regarding fair configuration.</t>
  </si>
  <si>
    <t>The selection of datasets is robust and balanced, covering both synthetic and challenging real-world data distributions. The inclusion of diverse workloads and the transparent reporting of performance trade-offs minimize the risk of selection bias.</t>
  </si>
  <si>
    <t>The algorithmic and structural details of DTtree are thoroughly documented through diagrams and pseudocode, facilitating a clear understanding of the system. While the transparency of the authors' own source code is not confirmed in the excerpts, the use of highly reputable baselines supports a rigorous implementation standard.</t>
  </si>
  <si>
    <t>The experimental execution is highly consistent and transparent, with clearly defined workloads that mimic real-world data aging and access patterns. While it does not address concurrency or failure, it provides a controlled single-threaded environment that matches its stated research goals.</t>
  </si>
  <si>
    <t xml:space="preserve">The paper demonstrates strong integrity by reporting instances where a competitor outperforms the proposed method. While some secondary metrics like memory usage are absent from the sources, the discussion of performance trade-offs is thorough and insightful.
</t>
  </si>
  <si>
    <t xml:space="preserve"> This is the weakest domain for the paper, as it lacks statistical rigor in its reporting. Without evidence of multiple runs or error bars, it is difficult to determine the stability and repeatability of the reported throughput gains.</t>
  </si>
  <si>
    <t>The paper is highly transparent and balanced in its reporting of results, covering all planned datasets and workloads. The main drawback is the lack of public access to the source code, which limits independent verification.</t>
  </si>
  <si>
    <t>Making in-memory learned indexes efficient on disk</t>
  </si>
  <si>
    <t xml:space="preserve"> The study demonstrates high experimental rigor by eliminating OS cache interference through direct I/O and strictly controlling memory budgets for a fair comparison against traditional structures. The hardware and baselines are current, well-documented, and adjusted to ensure the "apples-to-apples" nature of the evaluation.</t>
  </si>
  <si>
    <t xml:space="preserve"> The research utilizes a comprehensive suite of datasets that represent both favorable and adversarial conditions for learned indexes. By including synthetic datasets with high "global hardness," the authors provide a transparent view of the performance limits of their transformation guidelines.</t>
  </si>
  <si>
    <t>The implementation is highly transparent, supported by publicly accessible code and clear mathematical definitions of the proposed optimizations. The use of multiple standardized benchmarks (YCSB, TPC-C) ensures that the design’s performance is validated across different operational contexts.</t>
  </si>
  <si>
    <t xml:space="preserve">The experimental execution is robust, particularly in its handling of concurrency and update workloads through a well-defined hybrid framework. While actual crash-recovery testing data is missing, the architectural requirements for persistence are clearly acknowledged.
</t>
  </si>
  <si>
    <t>Reporting is thorough and transparent, with a dedicated section for "fall-back" designs to address adversarial datasets. The authors provide a balanced view by highlighting when their optimizations (like page-level granularity) might lead to sub-optimal space efficiency.</t>
  </si>
  <si>
    <t xml:space="preserve">This domain represents the highest risk of bias due to the lack of statistical variance reporting and the omission of "warm-up" period details. While the results are consistent across various datasets, the absence of error bars makes it difficult to assess the stability of the measurements.
</t>
  </si>
  <si>
    <t>Selection bias is minimal because the authors published their code and included datasets that specifically challenge their own proposed models. The inclusion of TPC-C results alongside standard YCSB benchmarks further validates that the findings were not cherry-picked for specific query patterns.</t>
  </si>
  <si>
    <t>Risk Level</t>
  </si>
  <si>
    <t>D1</t>
  </si>
  <si>
    <t>D2</t>
  </si>
  <si>
    <t>D3</t>
  </si>
  <si>
    <t>D4</t>
  </si>
  <si>
    <t>D5</t>
  </si>
  <si>
    <t>D6</t>
  </si>
  <si>
    <t>D7</t>
  </si>
  <si>
    <t>Overall</t>
  </si>
  <si>
    <t>Critical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</si>
</sst>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7.0"/>
      <color theme="1"/>
      <name val="Arial"/>
    </font>
    <font>
      <sz val="7.0"/>
      <color theme="1"/>
      <name val="Arial"/>
      <scheme val="minor"/>
    </font>
    <font/>
    <font>
      <color theme="1"/>
      <name val="Arial"/>
    </font>
    <font>
      <color theme="1"/>
      <name val="Arial"/>
      <scheme val="minor"/>
    </font>
    <font>
      <sz val="11.0"/>
      <color rgb="FF303030"/>
      <name val="&quot;Google Sans Text&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D0E0E3"/>
        <bgColor rgb="FFD0E0E3"/>
      </patternFill>
    </fill>
    <fill>
      <patternFill patternType="solid">
        <fgColor rgb="FFC9DAF8"/>
        <bgColor rgb="FFC9DAF8"/>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4"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1" fillId="4" fontId="2" numFmtId="0" xfId="0" applyAlignment="1" applyBorder="1" applyFont="1">
      <alignment horizontal="center" readingOrder="0" shrinkToFit="0" vertical="center" wrapText="1"/>
    </xf>
    <xf borderId="2" fillId="5" fontId="2" numFmtId="0" xfId="0" applyAlignment="1" applyBorder="1" applyFill="1" applyFont="1">
      <alignment horizontal="center" readingOrder="0" shrinkToFit="0" vertical="center" wrapText="1"/>
    </xf>
    <xf borderId="1" fillId="5"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2" fillId="6" fontId="2" numFmtId="0" xfId="0" applyAlignment="1" applyBorder="1" applyFill="1" applyFont="1">
      <alignment horizontal="center" readingOrder="0" shrinkToFit="0" vertical="center" wrapText="1"/>
    </xf>
    <xf borderId="1" fillId="6" fontId="2" numFmtId="0" xfId="0" applyAlignment="1" applyBorder="1" applyFont="1">
      <alignment horizontal="center" readingOrder="0" shrinkToFit="0" vertical="center" wrapText="1"/>
    </xf>
    <xf borderId="2" fillId="7" fontId="2" numFmtId="0" xfId="0" applyAlignment="1" applyBorder="1" applyFill="1" applyFont="1">
      <alignment horizontal="center" readingOrder="0" shrinkToFit="0" vertical="center" wrapText="1"/>
    </xf>
    <xf borderId="1" fillId="7" fontId="2" numFmtId="0" xfId="0" applyAlignment="1" applyBorder="1" applyFont="1">
      <alignment horizontal="center" readingOrder="0" shrinkToFit="0" vertical="center" wrapText="1"/>
    </xf>
    <xf borderId="2" fillId="8" fontId="2" numFmtId="0" xfId="0" applyAlignment="1" applyBorder="1" applyFill="1" applyFont="1">
      <alignment horizontal="center" readingOrder="0" shrinkToFit="0" vertical="center" wrapText="1"/>
    </xf>
    <xf borderId="1" fillId="8" fontId="2" numFmtId="0" xfId="0" applyAlignment="1" applyBorder="1" applyFont="1">
      <alignment horizontal="center" readingOrder="0" shrinkToFit="0" vertical="center" wrapText="1"/>
    </xf>
    <xf borderId="2" fillId="9" fontId="2" numFmtId="0" xfId="0" applyAlignment="1" applyBorder="1" applyFill="1" applyFont="1">
      <alignment horizontal="center" readingOrder="0" shrinkToFit="0" vertical="center" wrapText="1"/>
    </xf>
    <xf borderId="1" fillId="9" fontId="2" numFmtId="0" xfId="0" applyAlignment="1" applyBorder="1" applyFont="1">
      <alignment horizontal="center" readingOrder="0" shrinkToFit="0" vertical="center" wrapText="1"/>
    </xf>
    <xf borderId="1" fillId="10" fontId="2" numFmtId="0" xfId="0" applyAlignment="1" applyBorder="1" applyFill="1" applyFont="1">
      <alignment horizontal="center" readingOrder="0" shrinkToFit="0" vertical="center" wrapText="1"/>
    </xf>
    <xf borderId="5" fillId="0" fontId="3" numFmtId="0" xfId="0" applyBorder="1" applyFont="1"/>
    <xf borderId="6" fillId="4" fontId="2" numFmtId="0" xfId="0" applyAlignment="1" applyBorder="1" applyFont="1">
      <alignment horizontal="center" readingOrder="0" shrinkToFit="0" vertical="center" wrapText="1"/>
    </xf>
    <xf borderId="6" fillId="5" fontId="2" numFmtId="0" xfId="0" applyAlignment="1" applyBorder="1" applyFont="1">
      <alignment horizontal="center" readingOrder="0" shrinkToFit="0" vertical="center" wrapText="1"/>
    </xf>
    <xf borderId="6" fillId="2" fontId="2" numFmtId="0" xfId="0" applyAlignment="1" applyBorder="1" applyFont="1">
      <alignment horizontal="center" readingOrder="0" shrinkToFit="0" vertical="center" wrapText="1"/>
    </xf>
    <xf borderId="6" fillId="6" fontId="2" numFmtId="0" xfId="0" applyAlignment="1" applyBorder="1" applyFont="1">
      <alignment horizontal="center" readingOrder="0" shrinkToFit="0" vertical="center" wrapText="1"/>
    </xf>
    <xf borderId="6" fillId="7" fontId="2" numFmtId="0" xfId="0" applyAlignment="1" applyBorder="1" applyFont="1">
      <alignment horizontal="center" readingOrder="0" shrinkToFit="0" vertical="center" wrapText="1"/>
    </xf>
    <xf borderId="6" fillId="8" fontId="2" numFmtId="0" xfId="0" applyAlignment="1" applyBorder="1" applyFont="1">
      <alignment horizontal="center" readingOrder="0" shrinkToFit="0" vertical="center" wrapText="1"/>
    </xf>
    <xf borderId="6" fillId="9" fontId="2"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1"/>
    </xf>
    <xf borderId="6" fillId="3" fontId="2" numFmtId="0" xfId="0" applyAlignment="1" applyBorder="1" applyFont="1">
      <alignment horizontal="center" readingOrder="0" shrinkToFit="0" vertical="center" wrapText="1"/>
    </xf>
    <xf borderId="6" fillId="4" fontId="2" numFmtId="0" xfId="0" applyAlignment="1" applyBorder="1" applyFont="1">
      <alignment horizontal="center" shrinkToFit="0" vertical="center" wrapText="1"/>
    </xf>
    <xf borderId="6" fillId="5" fontId="2" numFmtId="0" xfId="0" applyAlignment="1" applyBorder="1" applyFont="1">
      <alignment horizontal="center" shrinkToFit="0" vertical="center" wrapText="1"/>
    </xf>
    <xf borderId="6" fillId="2" fontId="2" numFmtId="0" xfId="0" applyAlignment="1" applyBorder="1" applyFont="1">
      <alignment horizontal="center" shrinkToFit="0" vertical="center" wrapText="1"/>
    </xf>
    <xf borderId="6" fillId="6"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6" fillId="8" fontId="2" numFmtId="0" xfId="0" applyAlignment="1" applyBorder="1" applyFont="1">
      <alignment horizontal="center" shrinkToFit="0" vertical="center" wrapText="1"/>
    </xf>
    <xf borderId="6" fillId="9" fontId="2" numFmtId="0" xfId="0" applyAlignment="1" applyBorder="1" applyFont="1">
      <alignment horizontal="center" shrinkToFit="0" vertical="center" wrapText="1"/>
    </xf>
    <xf borderId="6" fillId="10" fontId="2" numFmtId="0" xfId="0" applyAlignment="1" applyBorder="1" applyFont="1">
      <alignment horizontal="center" shrinkToFit="0" vertical="center" wrapText="1"/>
    </xf>
    <xf borderId="6" fillId="3" fontId="2" numFmtId="0" xfId="0" applyAlignment="1" applyBorder="1" applyFont="1">
      <alignment horizontal="center" shrinkToFit="0" vertical="center" wrapText="1"/>
    </xf>
    <xf borderId="6" fillId="11" fontId="1" numFmtId="0" xfId="0" applyAlignment="1" applyBorder="1" applyFill="1" applyFont="1">
      <alignment horizontal="center" shrinkToFit="0" vertical="center" wrapText="1"/>
    </xf>
    <xf borderId="0" fillId="3" fontId="2"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6" fontId="2" numFmtId="0" xfId="0" applyAlignment="1" applyFont="1">
      <alignment horizontal="center" readingOrder="0" shrinkToFit="0" vertical="center" wrapText="1"/>
    </xf>
    <xf borderId="0" fillId="7" fontId="2"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9" fontId="2"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12" fontId="4" numFmtId="0" xfId="0" applyAlignment="1" applyFill="1" applyFont="1">
      <alignment horizontal="center" shrinkToFit="0" vertical="center" wrapText="1"/>
    </xf>
    <xf borderId="0" fillId="0" fontId="5" numFmtId="0" xfId="0" applyAlignment="1" applyFont="1">
      <alignment horizontal="center" shrinkToFit="0" vertical="center" wrapText="1"/>
    </xf>
    <xf borderId="0" fillId="3"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8.63"/>
    <col customWidth="1" min="2" max="2" width="21.63"/>
    <col customWidth="1" min="10" max="10" width="31.38"/>
    <col customWidth="1" min="11" max="11" width="26.88"/>
    <col customWidth="1" min="18" max="18" width="32.38"/>
    <col customWidth="1" min="19" max="19" width="27.0"/>
    <col customWidth="1" min="26" max="27" width="30.13"/>
    <col customWidth="1" min="34" max="34" width="30.13"/>
    <col customWidth="1" min="35" max="35" width="25.88"/>
    <col customWidth="1" min="42" max="42" width="32.38"/>
    <col customWidth="1" min="43" max="43" width="27.13"/>
    <col customWidth="1" min="50" max="50" width="33.5"/>
    <col customWidth="1" min="51" max="51" width="26.0"/>
    <col customWidth="1" min="58" max="58" width="31.38"/>
    <col customWidth="1" min="59" max="59" width="27.0"/>
  </cols>
  <sheetData>
    <row r="1">
      <c r="A1" s="1" t="s">
        <v>0</v>
      </c>
      <c r="B1" s="2" t="s">
        <v>1</v>
      </c>
      <c r="C1" s="2" t="s">
        <v>2</v>
      </c>
      <c r="D1" s="3" t="s">
        <v>3</v>
      </c>
      <c r="E1" s="4"/>
      <c r="F1" s="4"/>
      <c r="G1" s="4"/>
      <c r="H1" s="5"/>
      <c r="I1" s="6" t="s">
        <v>4</v>
      </c>
      <c r="J1" s="6" t="s">
        <v>5</v>
      </c>
      <c r="K1" s="6" t="s">
        <v>6</v>
      </c>
      <c r="L1" s="7" t="s">
        <v>7</v>
      </c>
      <c r="M1" s="4"/>
      <c r="N1" s="4"/>
      <c r="O1" s="4"/>
      <c r="P1" s="5"/>
      <c r="Q1" s="8" t="s">
        <v>8</v>
      </c>
      <c r="R1" s="8" t="s">
        <v>9</v>
      </c>
      <c r="S1" s="8" t="s">
        <v>10</v>
      </c>
      <c r="T1" s="9" t="s">
        <v>11</v>
      </c>
      <c r="U1" s="4"/>
      <c r="V1" s="4"/>
      <c r="W1" s="4"/>
      <c r="X1" s="5"/>
      <c r="Y1" s="10" t="s">
        <v>12</v>
      </c>
      <c r="Z1" s="10" t="s">
        <v>13</v>
      </c>
      <c r="AA1" s="10" t="s">
        <v>14</v>
      </c>
      <c r="AB1" s="11" t="s">
        <v>15</v>
      </c>
      <c r="AC1" s="4"/>
      <c r="AD1" s="4"/>
      <c r="AE1" s="4"/>
      <c r="AF1" s="5"/>
      <c r="AG1" s="12" t="s">
        <v>16</v>
      </c>
      <c r="AH1" s="12" t="s">
        <v>17</v>
      </c>
      <c r="AI1" s="12" t="s">
        <v>18</v>
      </c>
      <c r="AJ1" s="13" t="s">
        <v>19</v>
      </c>
      <c r="AK1" s="4"/>
      <c r="AL1" s="4"/>
      <c r="AM1" s="4"/>
      <c r="AN1" s="5"/>
      <c r="AO1" s="14" t="s">
        <v>20</v>
      </c>
      <c r="AP1" s="14" t="s">
        <v>21</v>
      </c>
      <c r="AQ1" s="14" t="s">
        <v>22</v>
      </c>
      <c r="AR1" s="15" t="s">
        <v>23</v>
      </c>
      <c r="AS1" s="4"/>
      <c r="AT1" s="4"/>
      <c r="AU1" s="4"/>
      <c r="AV1" s="5"/>
      <c r="AW1" s="16" t="s">
        <v>24</v>
      </c>
      <c r="AX1" s="16" t="s">
        <v>25</v>
      </c>
      <c r="AY1" s="16" t="s">
        <v>26</v>
      </c>
      <c r="AZ1" s="17" t="s">
        <v>27</v>
      </c>
      <c r="BA1" s="4"/>
      <c r="BB1" s="4"/>
      <c r="BC1" s="4"/>
      <c r="BD1" s="5"/>
      <c r="BE1" s="18" t="s">
        <v>28</v>
      </c>
      <c r="BF1" s="18" t="s">
        <v>29</v>
      </c>
      <c r="BG1" s="18" t="s">
        <v>30</v>
      </c>
      <c r="BH1" s="19" t="s">
        <v>31</v>
      </c>
      <c r="BI1" s="19" t="s">
        <v>32</v>
      </c>
      <c r="BJ1" s="2" t="s">
        <v>33</v>
      </c>
    </row>
    <row r="2">
      <c r="B2" s="20"/>
      <c r="C2" s="20"/>
      <c r="D2" s="21" t="s">
        <v>34</v>
      </c>
      <c r="E2" s="21" t="s">
        <v>35</v>
      </c>
      <c r="F2" s="21" t="s">
        <v>36</v>
      </c>
      <c r="G2" s="21" t="s">
        <v>37</v>
      </c>
      <c r="H2" s="21" t="s">
        <v>38</v>
      </c>
      <c r="I2" s="20"/>
      <c r="J2" s="20"/>
      <c r="K2" s="20"/>
      <c r="L2" s="22" t="s">
        <v>39</v>
      </c>
      <c r="M2" s="22" t="s">
        <v>40</v>
      </c>
      <c r="N2" s="22" t="s">
        <v>41</v>
      </c>
      <c r="O2" s="22" t="s">
        <v>42</v>
      </c>
      <c r="P2" s="22" t="s">
        <v>43</v>
      </c>
      <c r="Q2" s="20"/>
      <c r="R2" s="20"/>
      <c r="S2" s="20"/>
      <c r="T2" s="23" t="s">
        <v>44</v>
      </c>
      <c r="U2" s="23" t="s">
        <v>45</v>
      </c>
      <c r="V2" s="23" t="s">
        <v>46</v>
      </c>
      <c r="W2" s="23" t="s">
        <v>47</v>
      </c>
      <c r="X2" s="23" t="s">
        <v>48</v>
      </c>
      <c r="Y2" s="20"/>
      <c r="Z2" s="20"/>
      <c r="AA2" s="20"/>
      <c r="AB2" s="24" t="s">
        <v>49</v>
      </c>
      <c r="AC2" s="24" t="s">
        <v>50</v>
      </c>
      <c r="AD2" s="24" t="s">
        <v>51</v>
      </c>
      <c r="AE2" s="24" t="s">
        <v>52</v>
      </c>
      <c r="AF2" s="24" t="s">
        <v>53</v>
      </c>
      <c r="AG2" s="20"/>
      <c r="AH2" s="20"/>
      <c r="AI2" s="20"/>
      <c r="AJ2" s="25" t="s">
        <v>54</v>
      </c>
      <c r="AK2" s="25" t="s">
        <v>55</v>
      </c>
      <c r="AL2" s="25" t="s">
        <v>56</v>
      </c>
      <c r="AM2" s="25" t="s">
        <v>57</v>
      </c>
      <c r="AN2" s="25" t="s">
        <v>58</v>
      </c>
      <c r="AO2" s="20"/>
      <c r="AP2" s="20"/>
      <c r="AQ2" s="20"/>
      <c r="AR2" s="26" t="s">
        <v>59</v>
      </c>
      <c r="AS2" s="26" t="s">
        <v>60</v>
      </c>
      <c r="AT2" s="26" t="s">
        <v>61</v>
      </c>
      <c r="AU2" s="26" t="s">
        <v>62</v>
      </c>
      <c r="AV2" s="26" t="s">
        <v>63</v>
      </c>
      <c r="AW2" s="20"/>
      <c r="AX2" s="20"/>
      <c r="AY2" s="20"/>
      <c r="AZ2" s="27" t="s">
        <v>64</v>
      </c>
      <c r="BA2" s="27" t="s">
        <v>65</v>
      </c>
      <c r="BB2" s="27" t="s">
        <v>66</v>
      </c>
      <c r="BC2" s="27" t="s">
        <v>67</v>
      </c>
      <c r="BD2" s="27" t="s">
        <v>68</v>
      </c>
      <c r="BE2" s="20"/>
      <c r="BF2" s="20"/>
      <c r="BG2" s="20"/>
      <c r="BH2" s="20"/>
      <c r="BI2" s="20"/>
      <c r="BJ2" s="20"/>
    </row>
    <row r="3">
      <c r="A3" s="28">
        <v>1.0</v>
      </c>
      <c r="B3" s="29" t="s">
        <v>69</v>
      </c>
      <c r="C3" s="29">
        <v>2025.0</v>
      </c>
      <c r="D3" s="21">
        <v>2.0</v>
      </c>
      <c r="E3" s="21">
        <v>2.0</v>
      </c>
      <c r="F3" s="21">
        <v>1.0</v>
      </c>
      <c r="G3" s="21">
        <v>2.0</v>
      </c>
      <c r="H3" s="21">
        <v>1.0</v>
      </c>
      <c r="I3" s="30">
        <f t="shared" ref="I3:I57" si="1">SUM(D3:H3)</f>
        <v>8</v>
      </c>
      <c r="J3" s="30" t="str">
        <f t="shared" ref="J3:J57" si="2">IF(I3&gt;=8,"Low",IF(I3&gt;=4,"Moderate",IF(I3&gt;=0,"Serious","Critical")))</f>
        <v>Low</v>
      </c>
      <c r="K3" s="21" t="s">
        <v>70</v>
      </c>
      <c r="L3" s="22">
        <v>2.0</v>
      </c>
      <c r="M3" s="22">
        <v>2.0</v>
      </c>
      <c r="N3" s="22">
        <v>0.0</v>
      </c>
      <c r="O3" s="22">
        <v>2.0</v>
      </c>
      <c r="P3" s="22">
        <v>2.0</v>
      </c>
      <c r="Q3" s="31">
        <f t="shared" ref="Q3:Q57" si="3">SUM(L3:P3)</f>
        <v>8</v>
      </c>
      <c r="R3" s="31" t="str">
        <f t="shared" ref="R3:R57" si="4">IF(Q3&gt;=8,"Low",IF(Q3&gt;=4,"Moderate",IF(Q3&gt;=0,"Serious","Critical")))</f>
        <v>Low</v>
      </c>
      <c r="S3" s="22" t="s">
        <v>71</v>
      </c>
      <c r="T3" s="23">
        <v>2.0</v>
      </c>
      <c r="U3" s="23">
        <v>1.0</v>
      </c>
      <c r="V3" s="23">
        <v>2.0</v>
      </c>
      <c r="W3" s="23">
        <v>2.0</v>
      </c>
      <c r="X3" s="23">
        <v>2.0</v>
      </c>
      <c r="Y3" s="32">
        <f t="shared" ref="Y3:Y57" si="5">SUM(T3:X3)</f>
        <v>9</v>
      </c>
      <c r="Z3" s="32" t="str">
        <f t="shared" ref="Z3:Z57" si="6">IF(Y3&gt;=8,"Low",IF(Y3&gt;=4,"Moderate",IF(Y3&gt;=0,"Serious","Critical")))</f>
        <v>Low</v>
      </c>
      <c r="AA3" s="23" t="s">
        <v>72</v>
      </c>
      <c r="AB3" s="24">
        <v>2.0</v>
      </c>
      <c r="AC3" s="24">
        <v>2.0</v>
      </c>
      <c r="AD3" s="24">
        <v>1.0</v>
      </c>
      <c r="AE3" s="24">
        <v>0.0</v>
      </c>
      <c r="AF3" s="24">
        <v>2.0</v>
      </c>
      <c r="AG3" s="33">
        <f t="shared" ref="AG3:AG57" si="7">SUM(AB3:AF3)</f>
        <v>7</v>
      </c>
      <c r="AH3" s="33" t="str">
        <f t="shared" ref="AH3:AH57" si="8">IF(AG3&gt;=8,"Low",IF(AG3&gt;=4,"Moderate",IF(AG3&gt;=0,"Serious","Critical")))</f>
        <v>Moderate</v>
      </c>
      <c r="AI3" s="24" t="s">
        <v>73</v>
      </c>
      <c r="AJ3" s="25">
        <v>2.0</v>
      </c>
      <c r="AK3" s="25">
        <v>2.0</v>
      </c>
      <c r="AL3" s="25">
        <v>2.0</v>
      </c>
      <c r="AM3" s="25">
        <v>2.0</v>
      </c>
      <c r="AN3" s="25">
        <v>2.0</v>
      </c>
      <c r="AO3" s="34">
        <f t="shared" ref="AO3:AO57" si="9">SUM(AJ3:AN3)</f>
        <v>10</v>
      </c>
      <c r="AP3" s="34" t="str">
        <f t="shared" ref="AP3:AP57" si="10">IF(AO3&gt;=8,"Low",IF(AO3&gt;=4,"Moderate",IF(AO3&gt;=0,"Serious","Critical")))</f>
        <v>Low</v>
      </c>
      <c r="AQ3" s="25" t="s">
        <v>74</v>
      </c>
      <c r="AR3" s="26">
        <v>1.0</v>
      </c>
      <c r="AS3" s="26">
        <v>2.0</v>
      </c>
      <c r="AT3" s="26">
        <v>0.0</v>
      </c>
      <c r="AU3" s="26">
        <v>0.0</v>
      </c>
      <c r="AV3" s="26">
        <v>0.0</v>
      </c>
      <c r="AW3" s="35">
        <f t="shared" ref="AW3:AW57" si="11">sum(AR3:AV3)</f>
        <v>3</v>
      </c>
      <c r="AX3" s="35" t="str">
        <f t="shared" ref="AX3:AX57" si="12">IF(AW3&gt;=8,"Low",IF(AW3&gt;=4,"Moderate",IF(AW3&gt;=0,"Serious","Critical")))</f>
        <v>Serious</v>
      </c>
      <c r="AY3" s="26" t="s">
        <v>75</v>
      </c>
      <c r="AZ3" s="27">
        <v>1.0</v>
      </c>
      <c r="BA3" s="27">
        <v>2.0</v>
      </c>
      <c r="BB3" s="27">
        <v>2.0</v>
      </c>
      <c r="BC3" s="27">
        <v>1.0</v>
      </c>
      <c r="BD3" s="27">
        <v>2.0</v>
      </c>
      <c r="BE3" s="36">
        <f t="shared" ref="BE3:BE57" si="13">sum(AZ3:BD3)</f>
        <v>8</v>
      </c>
      <c r="BF3" s="36" t="str">
        <f t="shared" ref="BF3:BF57" si="14">IF(BE3&gt;=8,"Low",IF(BE3&gt;=4,"Moderate",IF(BE3&gt;=0,"Serious","Critical")))</f>
        <v>Low</v>
      </c>
      <c r="BG3" s="27" t="s">
        <v>76</v>
      </c>
      <c r="BH3" s="37">
        <f t="shared" ref="BH3:BH57" si="15">SUM(I3,Q3,Y3,AG3,AO3,AW3,BE3)</f>
        <v>53</v>
      </c>
      <c r="BI3" s="37" t="str">
        <f t="shared" ref="BI3:BI57" si="16">IF(BH3&gt;=56,"Low",IF(BH3&gt;=35,"Moderate",IF(BH3&gt;=14,"Serious","Critical")))</f>
        <v>Moderate</v>
      </c>
      <c r="BJ3" s="29" t="b">
        <v>0</v>
      </c>
    </row>
    <row r="4">
      <c r="A4" s="28">
        <v>2.0</v>
      </c>
      <c r="B4" s="29" t="s">
        <v>77</v>
      </c>
      <c r="C4" s="29">
        <v>2024.0</v>
      </c>
      <c r="D4" s="21">
        <v>2.0</v>
      </c>
      <c r="E4" s="21">
        <v>2.0</v>
      </c>
      <c r="F4" s="21">
        <v>2.0</v>
      </c>
      <c r="G4" s="21">
        <v>2.0</v>
      </c>
      <c r="H4" s="21">
        <v>1.0</v>
      </c>
      <c r="I4" s="30">
        <f t="shared" si="1"/>
        <v>9</v>
      </c>
      <c r="J4" s="30" t="str">
        <f t="shared" si="2"/>
        <v>Low</v>
      </c>
      <c r="K4" s="21" t="s">
        <v>78</v>
      </c>
      <c r="L4" s="22">
        <v>2.0</v>
      </c>
      <c r="M4" s="22">
        <v>2.0</v>
      </c>
      <c r="N4" s="22">
        <v>0.0</v>
      </c>
      <c r="O4" s="22">
        <v>2.0</v>
      </c>
      <c r="P4" s="22">
        <v>2.0</v>
      </c>
      <c r="Q4" s="31">
        <f t="shared" si="3"/>
        <v>8</v>
      </c>
      <c r="R4" s="31" t="str">
        <f t="shared" si="4"/>
        <v>Low</v>
      </c>
      <c r="S4" s="22" t="s">
        <v>79</v>
      </c>
      <c r="T4" s="23">
        <v>2.0</v>
      </c>
      <c r="U4" s="23">
        <v>2.0</v>
      </c>
      <c r="V4" s="23">
        <v>2.0</v>
      </c>
      <c r="W4" s="23">
        <v>2.0</v>
      </c>
      <c r="X4" s="23">
        <v>2.0</v>
      </c>
      <c r="Y4" s="32">
        <f t="shared" si="5"/>
        <v>10</v>
      </c>
      <c r="Z4" s="32" t="str">
        <f t="shared" si="6"/>
        <v>Low</v>
      </c>
      <c r="AA4" s="23" t="s">
        <v>80</v>
      </c>
      <c r="AB4" s="24">
        <v>2.0</v>
      </c>
      <c r="AC4" s="24">
        <v>2.0</v>
      </c>
      <c r="AD4" s="24">
        <v>2.0</v>
      </c>
      <c r="AE4" s="24">
        <v>0.0</v>
      </c>
      <c r="AF4" s="24">
        <v>2.0</v>
      </c>
      <c r="AG4" s="33">
        <f t="shared" si="7"/>
        <v>8</v>
      </c>
      <c r="AH4" s="33" t="str">
        <f t="shared" si="8"/>
        <v>Low</v>
      </c>
      <c r="AI4" s="24" t="s">
        <v>81</v>
      </c>
      <c r="AJ4" s="25">
        <v>2.0</v>
      </c>
      <c r="AK4" s="25">
        <v>2.0</v>
      </c>
      <c r="AL4" s="25">
        <v>2.0</v>
      </c>
      <c r="AM4" s="25">
        <v>2.0</v>
      </c>
      <c r="AN4" s="25">
        <v>2.0</v>
      </c>
      <c r="AO4" s="34">
        <f t="shared" si="9"/>
        <v>10</v>
      </c>
      <c r="AP4" s="34" t="str">
        <f t="shared" si="10"/>
        <v>Low</v>
      </c>
      <c r="AQ4" s="25" t="s">
        <v>82</v>
      </c>
      <c r="AR4" s="26">
        <v>1.0</v>
      </c>
      <c r="AS4" s="26">
        <v>1.0</v>
      </c>
      <c r="AT4" s="26">
        <v>-1.0</v>
      </c>
      <c r="AU4" s="26">
        <v>2.0</v>
      </c>
      <c r="AV4" s="26">
        <v>1.0</v>
      </c>
      <c r="AW4" s="35">
        <f t="shared" si="11"/>
        <v>4</v>
      </c>
      <c r="AX4" s="35" t="str">
        <f t="shared" si="12"/>
        <v>Moderate</v>
      </c>
      <c r="AY4" s="26" t="s">
        <v>83</v>
      </c>
      <c r="AZ4" s="27">
        <v>2.0</v>
      </c>
      <c r="BA4" s="27">
        <v>2.0</v>
      </c>
      <c r="BB4" s="27">
        <v>2.0</v>
      </c>
      <c r="BC4" s="27">
        <v>2.0</v>
      </c>
      <c r="BD4" s="27">
        <v>2.0</v>
      </c>
      <c r="BE4" s="36">
        <f t="shared" si="13"/>
        <v>10</v>
      </c>
      <c r="BF4" s="36" t="str">
        <f t="shared" si="14"/>
        <v>Low</v>
      </c>
      <c r="BG4" s="27" t="s">
        <v>84</v>
      </c>
      <c r="BH4" s="37">
        <f t="shared" si="15"/>
        <v>59</v>
      </c>
      <c r="BI4" s="37" t="str">
        <f t="shared" si="16"/>
        <v>Low</v>
      </c>
      <c r="BJ4" s="29" t="b">
        <v>0</v>
      </c>
    </row>
    <row r="5">
      <c r="A5" s="28">
        <v>3.0</v>
      </c>
      <c r="B5" s="29" t="s">
        <v>85</v>
      </c>
      <c r="C5" s="38"/>
      <c r="D5" s="21">
        <v>2.0</v>
      </c>
      <c r="E5" s="21">
        <v>2.0</v>
      </c>
      <c r="F5" s="21">
        <v>0.0</v>
      </c>
      <c r="G5" s="21">
        <v>2.0</v>
      </c>
      <c r="H5" s="21">
        <v>2.0</v>
      </c>
      <c r="I5" s="30">
        <f t="shared" si="1"/>
        <v>8</v>
      </c>
      <c r="J5" s="30" t="str">
        <f t="shared" si="2"/>
        <v>Low</v>
      </c>
      <c r="K5" s="21" t="s">
        <v>86</v>
      </c>
      <c r="L5" s="22">
        <v>2.0</v>
      </c>
      <c r="M5" s="22">
        <v>2.0</v>
      </c>
      <c r="N5" s="22">
        <v>0.0</v>
      </c>
      <c r="O5" s="22">
        <v>1.0</v>
      </c>
      <c r="P5" s="22">
        <v>2.0</v>
      </c>
      <c r="Q5" s="31">
        <f t="shared" si="3"/>
        <v>7</v>
      </c>
      <c r="R5" s="31" t="str">
        <f t="shared" si="4"/>
        <v>Moderate</v>
      </c>
      <c r="S5" s="22" t="s">
        <v>87</v>
      </c>
      <c r="T5" s="23">
        <v>2.0</v>
      </c>
      <c r="U5" s="23">
        <v>2.0</v>
      </c>
      <c r="V5" s="23">
        <v>2.0</v>
      </c>
      <c r="W5" s="23">
        <v>2.0</v>
      </c>
      <c r="X5" s="23">
        <v>2.0</v>
      </c>
      <c r="Y5" s="32">
        <f t="shared" si="5"/>
        <v>10</v>
      </c>
      <c r="Z5" s="32" t="str">
        <f t="shared" si="6"/>
        <v>Low</v>
      </c>
      <c r="AA5" s="23" t="s">
        <v>88</v>
      </c>
      <c r="AB5" s="24">
        <v>2.0</v>
      </c>
      <c r="AC5" s="24">
        <v>2.0</v>
      </c>
      <c r="AD5" s="24">
        <v>2.0</v>
      </c>
      <c r="AE5" s="24">
        <v>0.0</v>
      </c>
      <c r="AF5" s="24">
        <v>2.0</v>
      </c>
      <c r="AG5" s="33">
        <f t="shared" si="7"/>
        <v>8</v>
      </c>
      <c r="AH5" s="33" t="str">
        <f t="shared" si="8"/>
        <v>Low</v>
      </c>
      <c r="AI5" s="24" t="s">
        <v>89</v>
      </c>
      <c r="AJ5" s="25">
        <v>1.0</v>
      </c>
      <c r="AK5" s="25">
        <v>2.0</v>
      </c>
      <c r="AL5" s="25">
        <v>2.0</v>
      </c>
      <c r="AM5" s="25">
        <v>2.0</v>
      </c>
      <c r="AN5" s="25">
        <v>2.0</v>
      </c>
      <c r="AO5" s="34">
        <f t="shared" si="9"/>
        <v>9</v>
      </c>
      <c r="AP5" s="34" t="str">
        <f t="shared" si="10"/>
        <v>Low</v>
      </c>
      <c r="AQ5" s="25" t="s">
        <v>90</v>
      </c>
      <c r="AR5" s="26">
        <v>1.0</v>
      </c>
      <c r="AS5" s="26">
        <v>2.0</v>
      </c>
      <c r="AT5" s="26">
        <v>1.0</v>
      </c>
      <c r="AU5" s="26">
        <v>0.0</v>
      </c>
      <c r="AV5" s="26">
        <v>0.0</v>
      </c>
      <c r="AW5" s="35">
        <f t="shared" si="11"/>
        <v>4</v>
      </c>
      <c r="AX5" s="35" t="str">
        <f t="shared" si="12"/>
        <v>Moderate</v>
      </c>
      <c r="AY5" s="26" t="s">
        <v>91</v>
      </c>
      <c r="AZ5" s="27">
        <v>2.0</v>
      </c>
      <c r="BA5" s="27">
        <v>2.0</v>
      </c>
      <c r="BB5" s="27">
        <v>2.0</v>
      </c>
      <c r="BC5" s="27">
        <v>2.0</v>
      </c>
      <c r="BD5" s="27">
        <v>2.0</v>
      </c>
      <c r="BE5" s="36">
        <f t="shared" si="13"/>
        <v>10</v>
      </c>
      <c r="BF5" s="36" t="str">
        <f t="shared" si="14"/>
        <v>Low</v>
      </c>
      <c r="BG5" s="27" t="s">
        <v>92</v>
      </c>
      <c r="BH5" s="37">
        <f t="shared" si="15"/>
        <v>56</v>
      </c>
      <c r="BI5" s="37" t="str">
        <f t="shared" si="16"/>
        <v>Low</v>
      </c>
      <c r="BJ5" s="29" t="b">
        <v>0</v>
      </c>
    </row>
    <row r="6">
      <c r="A6" s="28">
        <v>4.0</v>
      </c>
      <c r="B6" s="29" t="s">
        <v>93</v>
      </c>
      <c r="C6" s="29">
        <v>2024.0</v>
      </c>
      <c r="D6" s="21">
        <v>2.0</v>
      </c>
      <c r="E6" s="21">
        <v>2.0</v>
      </c>
      <c r="F6" s="21">
        <v>1.0</v>
      </c>
      <c r="G6" s="21">
        <v>2.0</v>
      </c>
      <c r="H6" s="21">
        <v>2.0</v>
      </c>
      <c r="I6" s="30">
        <f t="shared" si="1"/>
        <v>9</v>
      </c>
      <c r="J6" s="30" t="str">
        <f t="shared" si="2"/>
        <v>Low</v>
      </c>
      <c r="K6" s="21" t="s">
        <v>94</v>
      </c>
      <c r="L6" s="22">
        <v>2.0</v>
      </c>
      <c r="M6" s="22">
        <v>2.0</v>
      </c>
      <c r="N6" s="22">
        <v>0.0</v>
      </c>
      <c r="O6" s="22">
        <v>2.0</v>
      </c>
      <c r="P6" s="22">
        <v>2.0</v>
      </c>
      <c r="Q6" s="31">
        <f t="shared" si="3"/>
        <v>8</v>
      </c>
      <c r="R6" s="31" t="str">
        <f t="shared" si="4"/>
        <v>Low</v>
      </c>
      <c r="S6" s="22" t="s">
        <v>95</v>
      </c>
      <c r="T6" s="23">
        <v>2.0</v>
      </c>
      <c r="U6" s="23">
        <v>1.0</v>
      </c>
      <c r="V6" s="23">
        <v>2.0</v>
      </c>
      <c r="W6" s="23">
        <v>2.0</v>
      </c>
      <c r="X6" s="23">
        <v>2.0</v>
      </c>
      <c r="Y6" s="32">
        <f t="shared" si="5"/>
        <v>9</v>
      </c>
      <c r="Z6" s="32" t="str">
        <f t="shared" si="6"/>
        <v>Low</v>
      </c>
      <c r="AA6" s="23" t="s">
        <v>96</v>
      </c>
      <c r="AB6" s="24">
        <v>2.0</v>
      </c>
      <c r="AC6" s="24">
        <v>2.0</v>
      </c>
      <c r="AD6" s="24">
        <v>2.0</v>
      </c>
      <c r="AE6" s="24">
        <v>0.0</v>
      </c>
      <c r="AF6" s="24">
        <v>2.0</v>
      </c>
      <c r="AG6" s="33">
        <f t="shared" si="7"/>
        <v>8</v>
      </c>
      <c r="AH6" s="33" t="str">
        <f t="shared" si="8"/>
        <v>Low</v>
      </c>
      <c r="AI6" s="24" t="s">
        <v>97</v>
      </c>
      <c r="AJ6" s="25">
        <v>2.0</v>
      </c>
      <c r="AK6" s="25">
        <v>2.0</v>
      </c>
      <c r="AL6" s="25">
        <v>2.0</v>
      </c>
      <c r="AM6" s="25">
        <v>2.0</v>
      </c>
      <c r="AN6" s="25">
        <v>2.0</v>
      </c>
      <c r="AO6" s="34">
        <f t="shared" si="9"/>
        <v>10</v>
      </c>
      <c r="AP6" s="34" t="str">
        <f t="shared" si="10"/>
        <v>Low</v>
      </c>
      <c r="AQ6" s="25" t="s">
        <v>98</v>
      </c>
      <c r="AR6" s="26">
        <v>1.0</v>
      </c>
      <c r="AS6" s="26">
        <v>2.0</v>
      </c>
      <c r="AT6" s="26">
        <v>2.0</v>
      </c>
      <c r="AU6" s="26">
        <v>0.0</v>
      </c>
      <c r="AV6" s="26">
        <v>1.0</v>
      </c>
      <c r="AW6" s="35">
        <f t="shared" si="11"/>
        <v>6</v>
      </c>
      <c r="AX6" s="35" t="str">
        <f t="shared" si="12"/>
        <v>Moderate</v>
      </c>
      <c r="AY6" s="26" t="s">
        <v>99</v>
      </c>
      <c r="AZ6" s="27">
        <v>2.0</v>
      </c>
      <c r="BA6" s="27">
        <v>2.0</v>
      </c>
      <c r="BB6" s="27">
        <v>2.0</v>
      </c>
      <c r="BC6" s="27">
        <v>1.0</v>
      </c>
      <c r="BD6" s="27">
        <v>2.0</v>
      </c>
      <c r="BE6" s="36">
        <f t="shared" si="13"/>
        <v>9</v>
      </c>
      <c r="BF6" s="36" t="str">
        <f t="shared" si="14"/>
        <v>Low</v>
      </c>
      <c r="BG6" s="27" t="s">
        <v>100</v>
      </c>
      <c r="BH6" s="37">
        <f t="shared" si="15"/>
        <v>59</v>
      </c>
      <c r="BI6" s="37" t="str">
        <f t="shared" si="16"/>
        <v>Low</v>
      </c>
      <c r="BJ6" s="29" t="b">
        <v>0</v>
      </c>
    </row>
    <row r="7">
      <c r="A7" s="28">
        <v>5.0</v>
      </c>
      <c r="B7" s="39" t="s">
        <v>101</v>
      </c>
      <c r="C7" s="40"/>
      <c r="D7" s="41">
        <v>2.0</v>
      </c>
      <c r="E7" s="41">
        <v>2.0</v>
      </c>
      <c r="F7" s="41">
        <v>1.0</v>
      </c>
      <c r="G7" s="41">
        <v>2.0</v>
      </c>
      <c r="H7" s="41">
        <v>2.0</v>
      </c>
      <c r="I7" s="30">
        <f t="shared" si="1"/>
        <v>9</v>
      </c>
      <c r="J7" s="30" t="str">
        <f t="shared" si="2"/>
        <v>Low</v>
      </c>
      <c r="K7" s="41" t="s">
        <v>102</v>
      </c>
      <c r="L7" s="42">
        <v>2.0</v>
      </c>
      <c r="M7" s="42">
        <v>2.0</v>
      </c>
      <c r="N7" s="42">
        <v>0.0</v>
      </c>
      <c r="O7" s="42">
        <v>2.0</v>
      </c>
      <c r="P7" s="42">
        <v>2.0</v>
      </c>
      <c r="Q7" s="31">
        <f t="shared" si="3"/>
        <v>8</v>
      </c>
      <c r="R7" s="31" t="str">
        <f t="shared" si="4"/>
        <v>Low</v>
      </c>
      <c r="S7" s="42" t="s">
        <v>103</v>
      </c>
      <c r="T7" s="43">
        <v>2.0</v>
      </c>
      <c r="U7" s="43">
        <v>2.0</v>
      </c>
      <c r="V7" s="43">
        <v>2.0</v>
      </c>
      <c r="W7" s="43">
        <v>2.0</v>
      </c>
      <c r="X7" s="43">
        <v>2.0</v>
      </c>
      <c r="Y7" s="32">
        <f t="shared" si="5"/>
        <v>10</v>
      </c>
      <c r="Z7" s="32" t="str">
        <f t="shared" si="6"/>
        <v>Low</v>
      </c>
      <c r="AA7" s="43" t="s">
        <v>104</v>
      </c>
      <c r="AB7" s="44">
        <v>2.0</v>
      </c>
      <c r="AC7" s="44">
        <v>2.0</v>
      </c>
      <c r="AD7" s="44">
        <v>0.0</v>
      </c>
      <c r="AE7" s="44">
        <v>0.0</v>
      </c>
      <c r="AF7" s="44">
        <v>2.0</v>
      </c>
      <c r="AG7" s="33">
        <f t="shared" si="7"/>
        <v>6</v>
      </c>
      <c r="AH7" s="33" t="str">
        <f t="shared" si="8"/>
        <v>Moderate</v>
      </c>
      <c r="AI7" s="44" t="s">
        <v>105</v>
      </c>
      <c r="AJ7" s="45">
        <v>2.0</v>
      </c>
      <c r="AK7" s="45">
        <v>2.0</v>
      </c>
      <c r="AL7" s="45">
        <v>1.0</v>
      </c>
      <c r="AM7" s="45">
        <v>2.0</v>
      </c>
      <c r="AN7" s="45">
        <v>2.0</v>
      </c>
      <c r="AO7" s="34">
        <f t="shared" si="9"/>
        <v>9</v>
      </c>
      <c r="AP7" s="34" t="str">
        <f t="shared" si="10"/>
        <v>Low</v>
      </c>
      <c r="AQ7" s="45" t="s">
        <v>106</v>
      </c>
      <c r="AR7" s="46">
        <v>1.0</v>
      </c>
      <c r="AS7" s="46">
        <v>2.0</v>
      </c>
      <c r="AT7" s="46">
        <v>2.0</v>
      </c>
      <c r="AU7" s="46">
        <v>0.0</v>
      </c>
      <c r="AV7" s="46">
        <v>0.0</v>
      </c>
      <c r="AW7" s="35">
        <f t="shared" si="11"/>
        <v>5</v>
      </c>
      <c r="AX7" s="35" t="str">
        <f t="shared" si="12"/>
        <v>Moderate</v>
      </c>
      <c r="AY7" s="46" t="s">
        <v>107</v>
      </c>
      <c r="AZ7" s="47">
        <v>2.0</v>
      </c>
      <c r="BA7" s="47">
        <v>2.0</v>
      </c>
      <c r="BB7" s="47">
        <v>2.0</v>
      </c>
      <c r="BC7" s="47">
        <v>2.0</v>
      </c>
      <c r="BD7" s="47">
        <v>2.0</v>
      </c>
      <c r="BE7" s="36">
        <f t="shared" si="13"/>
        <v>10</v>
      </c>
      <c r="BF7" s="36" t="str">
        <f t="shared" si="14"/>
        <v>Low</v>
      </c>
      <c r="BG7" s="47" t="s">
        <v>108</v>
      </c>
      <c r="BH7" s="37">
        <f t="shared" si="15"/>
        <v>57</v>
      </c>
      <c r="BI7" s="37" t="str">
        <f t="shared" si="16"/>
        <v>Low</v>
      </c>
      <c r="BJ7" s="40" t="b">
        <v>0</v>
      </c>
    </row>
    <row r="8">
      <c r="A8" s="28">
        <v>6.0</v>
      </c>
      <c r="B8" s="29" t="s">
        <v>109</v>
      </c>
      <c r="C8" s="29">
        <v>2024.0</v>
      </c>
      <c r="D8" s="21">
        <v>2.0</v>
      </c>
      <c r="E8" s="21">
        <v>2.0</v>
      </c>
      <c r="F8" s="21">
        <v>1.0</v>
      </c>
      <c r="G8" s="21">
        <v>2.0</v>
      </c>
      <c r="H8" s="21">
        <v>1.0</v>
      </c>
      <c r="I8" s="30">
        <f t="shared" si="1"/>
        <v>8</v>
      </c>
      <c r="J8" s="30" t="str">
        <f t="shared" si="2"/>
        <v>Low</v>
      </c>
      <c r="K8" s="21" t="s">
        <v>110</v>
      </c>
      <c r="L8" s="22">
        <v>1.0</v>
      </c>
      <c r="M8" s="22">
        <v>1.0</v>
      </c>
      <c r="N8" s="22">
        <v>0.0</v>
      </c>
      <c r="O8" s="22">
        <v>0.0</v>
      </c>
      <c r="P8" s="22">
        <v>2.0</v>
      </c>
      <c r="Q8" s="31">
        <f t="shared" si="3"/>
        <v>4</v>
      </c>
      <c r="R8" s="31" t="str">
        <f t="shared" si="4"/>
        <v>Moderate</v>
      </c>
      <c r="S8" s="22" t="s">
        <v>111</v>
      </c>
      <c r="T8" s="23">
        <v>2.0</v>
      </c>
      <c r="U8" s="23">
        <v>0.0</v>
      </c>
      <c r="V8" s="23">
        <v>2.0</v>
      </c>
      <c r="W8" s="23">
        <v>2.0</v>
      </c>
      <c r="X8" s="23">
        <v>2.0</v>
      </c>
      <c r="Y8" s="32">
        <f t="shared" si="5"/>
        <v>8</v>
      </c>
      <c r="Z8" s="32" t="str">
        <f t="shared" si="6"/>
        <v>Low</v>
      </c>
      <c r="AA8" s="23" t="s">
        <v>112</v>
      </c>
      <c r="AB8" s="24">
        <v>2.0</v>
      </c>
      <c r="AC8" s="24">
        <v>1.0</v>
      </c>
      <c r="AD8" s="24">
        <v>1.0</v>
      </c>
      <c r="AE8" s="24">
        <v>0.0</v>
      </c>
      <c r="AF8" s="24">
        <v>2.0</v>
      </c>
      <c r="AG8" s="33">
        <f t="shared" si="7"/>
        <v>6</v>
      </c>
      <c r="AH8" s="33" t="str">
        <f t="shared" si="8"/>
        <v>Moderate</v>
      </c>
      <c r="AI8" s="24" t="s">
        <v>113</v>
      </c>
      <c r="AJ8" s="25">
        <v>1.0</v>
      </c>
      <c r="AK8" s="25">
        <v>2.0</v>
      </c>
      <c r="AL8" s="25">
        <v>2.0</v>
      </c>
      <c r="AM8" s="25">
        <v>2.0</v>
      </c>
      <c r="AN8" s="25">
        <v>2.0</v>
      </c>
      <c r="AO8" s="34">
        <f t="shared" si="9"/>
        <v>9</v>
      </c>
      <c r="AP8" s="34" t="str">
        <f t="shared" si="10"/>
        <v>Low</v>
      </c>
      <c r="AQ8" s="25" t="s">
        <v>114</v>
      </c>
      <c r="AR8" s="26">
        <v>1.0</v>
      </c>
      <c r="AS8" s="26">
        <v>0.0</v>
      </c>
      <c r="AT8" s="26">
        <v>-1.0</v>
      </c>
      <c r="AU8" s="26">
        <v>0.0</v>
      </c>
      <c r="AV8" s="26">
        <v>1.0</v>
      </c>
      <c r="AW8" s="35">
        <f t="shared" si="11"/>
        <v>1</v>
      </c>
      <c r="AX8" s="35" t="str">
        <f t="shared" si="12"/>
        <v>Serious</v>
      </c>
      <c r="AY8" s="26" t="s">
        <v>115</v>
      </c>
      <c r="AZ8" s="27">
        <v>2.0</v>
      </c>
      <c r="BA8" s="27">
        <v>2.0</v>
      </c>
      <c r="BB8" s="27">
        <v>2.0</v>
      </c>
      <c r="BC8" s="27">
        <v>0.0</v>
      </c>
      <c r="BD8" s="27">
        <v>2.0</v>
      </c>
      <c r="BE8" s="36">
        <f t="shared" si="13"/>
        <v>8</v>
      </c>
      <c r="BF8" s="36" t="str">
        <f t="shared" si="14"/>
        <v>Low</v>
      </c>
      <c r="BG8" s="27" t="s">
        <v>116</v>
      </c>
      <c r="BH8" s="37">
        <f t="shared" si="15"/>
        <v>44</v>
      </c>
      <c r="BI8" s="37" t="str">
        <f t="shared" si="16"/>
        <v>Moderate</v>
      </c>
      <c r="BJ8" s="29" t="b">
        <v>0</v>
      </c>
    </row>
    <row r="9">
      <c r="A9" s="28">
        <v>7.0</v>
      </c>
      <c r="B9" s="29" t="s">
        <v>117</v>
      </c>
      <c r="C9" s="29" t="s">
        <v>118</v>
      </c>
      <c r="D9" s="21">
        <v>2.0</v>
      </c>
      <c r="E9" s="21">
        <v>2.0</v>
      </c>
      <c r="F9" s="21">
        <v>2.0</v>
      </c>
      <c r="G9" s="21">
        <v>2.0</v>
      </c>
      <c r="H9" s="21">
        <v>1.0</v>
      </c>
      <c r="I9" s="30">
        <f t="shared" si="1"/>
        <v>9</v>
      </c>
      <c r="J9" s="30" t="str">
        <f t="shared" si="2"/>
        <v>Low</v>
      </c>
      <c r="K9" s="21" t="s">
        <v>119</v>
      </c>
      <c r="L9" s="22">
        <v>2.0</v>
      </c>
      <c r="M9" s="22">
        <v>2.0</v>
      </c>
      <c r="N9" s="22">
        <v>0.0</v>
      </c>
      <c r="O9" s="22">
        <v>2.0</v>
      </c>
      <c r="P9" s="22">
        <v>2.0</v>
      </c>
      <c r="Q9" s="31">
        <f t="shared" si="3"/>
        <v>8</v>
      </c>
      <c r="R9" s="31" t="str">
        <f t="shared" si="4"/>
        <v>Low</v>
      </c>
      <c r="S9" s="22" t="s">
        <v>120</v>
      </c>
      <c r="T9" s="23">
        <v>2.0</v>
      </c>
      <c r="U9" s="23">
        <v>0.0</v>
      </c>
      <c r="V9" s="23">
        <v>2.0</v>
      </c>
      <c r="W9" s="23">
        <v>2.0</v>
      </c>
      <c r="X9" s="23">
        <v>2.0</v>
      </c>
      <c r="Y9" s="32">
        <f t="shared" si="5"/>
        <v>8</v>
      </c>
      <c r="Z9" s="32" t="str">
        <f t="shared" si="6"/>
        <v>Low</v>
      </c>
      <c r="AA9" s="23" t="s">
        <v>121</v>
      </c>
      <c r="AB9" s="24">
        <v>2.0</v>
      </c>
      <c r="AC9" s="24">
        <v>2.0</v>
      </c>
      <c r="AD9" s="24">
        <v>1.0</v>
      </c>
      <c r="AE9" s="24">
        <v>0.0</v>
      </c>
      <c r="AF9" s="24">
        <v>2.0</v>
      </c>
      <c r="AG9" s="33">
        <f t="shared" si="7"/>
        <v>7</v>
      </c>
      <c r="AH9" s="33" t="str">
        <f t="shared" si="8"/>
        <v>Moderate</v>
      </c>
      <c r="AI9" s="24" t="s">
        <v>122</v>
      </c>
      <c r="AJ9" s="25">
        <v>2.0</v>
      </c>
      <c r="AK9" s="25">
        <v>2.0</v>
      </c>
      <c r="AL9" s="25">
        <v>2.0</v>
      </c>
      <c r="AM9" s="25">
        <v>2.0</v>
      </c>
      <c r="AN9" s="25">
        <v>2.0</v>
      </c>
      <c r="AO9" s="34">
        <f t="shared" si="9"/>
        <v>10</v>
      </c>
      <c r="AP9" s="34" t="str">
        <f t="shared" si="10"/>
        <v>Low</v>
      </c>
      <c r="AQ9" s="25" t="s">
        <v>123</v>
      </c>
      <c r="AR9" s="26">
        <v>1.0</v>
      </c>
      <c r="AS9" s="26">
        <v>1.0</v>
      </c>
      <c r="AT9" s="26">
        <v>-1.0</v>
      </c>
      <c r="AU9" s="26">
        <v>2.0</v>
      </c>
      <c r="AV9" s="26">
        <v>1.0</v>
      </c>
      <c r="AW9" s="35">
        <f t="shared" si="11"/>
        <v>4</v>
      </c>
      <c r="AX9" s="35" t="str">
        <f t="shared" si="12"/>
        <v>Moderate</v>
      </c>
      <c r="AY9" s="26" t="s">
        <v>124</v>
      </c>
      <c r="AZ9" s="27">
        <v>2.0</v>
      </c>
      <c r="BA9" s="27">
        <v>2.0</v>
      </c>
      <c r="BB9" s="27">
        <v>2.0</v>
      </c>
      <c r="BC9" s="27">
        <v>1.0</v>
      </c>
      <c r="BD9" s="27">
        <v>2.0</v>
      </c>
      <c r="BE9" s="36">
        <f t="shared" si="13"/>
        <v>9</v>
      </c>
      <c r="BF9" s="36" t="str">
        <f t="shared" si="14"/>
        <v>Low</v>
      </c>
      <c r="BG9" s="27" t="s">
        <v>125</v>
      </c>
      <c r="BH9" s="37">
        <f t="shared" si="15"/>
        <v>55</v>
      </c>
      <c r="BI9" s="37" t="str">
        <f t="shared" si="16"/>
        <v>Moderate</v>
      </c>
      <c r="BJ9" s="29" t="b">
        <v>0</v>
      </c>
    </row>
    <row r="10">
      <c r="A10" s="28">
        <v>8.0</v>
      </c>
      <c r="B10" s="29" t="s">
        <v>126</v>
      </c>
      <c r="C10" s="38"/>
      <c r="D10" s="21">
        <v>1.0</v>
      </c>
      <c r="E10" s="21">
        <v>2.0</v>
      </c>
      <c r="F10" s="21">
        <v>0.0</v>
      </c>
      <c r="G10" s="21">
        <v>2.0</v>
      </c>
      <c r="H10" s="21">
        <v>0.0</v>
      </c>
      <c r="I10" s="30">
        <f t="shared" si="1"/>
        <v>5</v>
      </c>
      <c r="J10" s="30" t="str">
        <f t="shared" si="2"/>
        <v>Moderate</v>
      </c>
      <c r="K10" s="21" t="s">
        <v>127</v>
      </c>
      <c r="L10" s="22">
        <v>1.0</v>
      </c>
      <c r="M10" s="22">
        <v>2.0</v>
      </c>
      <c r="N10" s="22">
        <v>0.0</v>
      </c>
      <c r="O10" s="22">
        <v>2.0</v>
      </c>
      <c r="P10" s="22">
        <v>2.0</v>
      </c>
      <c r="Q10" s="31">
        <f t="shared" si="3"/>
        <v>7</v>
      </c>
      <c r="R10" s="31" t="str">
        <f t="shared" si="4"/>
        <v>Moderate</v>
      </c>
      <c r="S10" s="22" t="s">
        <v>128</v>
      </c>
      <c r="T10" s="23">
        <v>2.0</v>
      </c>
      <c r="U10" s="23">
        <v>0.0</v>
      </c>
      <c r="V10" s="23">
        <v>1.0</v>
      </c>
      <c r="W10" s="23">
        <v>2.0</v>
      </c>
      <c r="X10" s="23">
        <v>2.0</v>
      </c>
      <c r="Y10" s="32">
        <f t="shared" si="5"/>
        <v>7</v>
      </c>
      <c r="Z10" s="32" t="str">
        <f t="shared" si="6"/>
        <v>Moderate</v>
      </c>
      <c r="AA10" s="23" t="s">
        <v>129</v>
      </c>
      <c r="AB10" s="24">
        <v>2.0</v>
      </c>
      <c r="AC10" s="24">
        <v>2.0</v>
      </c>
      <c r="AD10" s="24">
        <v>0.0</v>
      </c>
      <c r="AE10" s="24">
        <v>0.0</v>
      </c>
      <c r="AF10" s="24">
        <v>2.0</v>
      </c>
      <c r="AG10" s="33">
        <f t="shared" si="7"/>
        <v>6</v>
      </c>
      <c r="AH10" s="33" t="str">
        <f t="shared" si="8"/>
        <v>Moderate</v>
      </c>
      <c r="AI10" s="24" t="s">
        <v>130</v>
      </c>
      <c r="AJ10" s="25">
        <v>2.0</v>
      </c>
      <c r="AK10" s="25">
        <v>2.0</v>
      </c>
      <c r="AL10" s="25">
        <v>2.0</v>
      </c>
      <c r="AM10" s="25">
        <v>2.0</v>
      </c>
      <c r="AN10" s="25">
        <v>2.0</v>
      </c>
      <c r="AO10" s="34">
        <f t="shared" si="9"/>
        <v>10</v>
      </c>
      <c r="AP10" s="34" t="str">
        <f t="shared" si="10"/>
        <v>Low</v>
      </c>
      <c r="AQ10" s="25" t="s">
        <v>131</v>
      </c>
      <c r="AR10" s="26">
        <v>0.0</v>
      </c>
      <c r="AS10" s="26">
        <v>0.0</v>
      </c>
      <c r="AT10" s="26">
        <v>-1.0</v>
      </c>
      <c r="AU10" s="26">
        <v>0.0</v>
      </c>
      <c r="AV10" s="26">
        <v>0.0</v>
      </c>
      <c r="AW10" s="35">
        <f t="shared" si="11"/>
        <v>-1</v>
      </c>
      <c r="AX10" s="35" t="str">
        <f t="shared" si="12"/>
        <v>Critical</v>
      </c>
      <c r="AY10" s="26" t="s">
        <v>132</v>
      </c>
      <c r="AZ10" s="27">
        <v>2.0</v>
      </c>
      <c r="BA10" s="27">
        <v>2.0</v>
      </c>
      <c r="BB10" s="27">
        <v>2.0</v>
      </c>
      <c r="BC10" s="27">
        <v>1.0</v>
      </c>
      <c r="BD10" s="27">
        <v>2.0</v>
      </c>
      <c r="BE10" s="36">
        <f t="shared" si="13"/>
        <v>9</v>
      </c>
      <c r="BF10" s="36" t="str">
        <f t="shared" si="14"/>
        <v>Low</v>
      </c>
      <c r="BG10" s="27" t="s">
        <v>133</v>
      </c>
      <c r="BH10" s="37">
        <f t="shared" si="15"/>
        <v>43</v>
      </c>
      <c r="BI10" s="37" t="str">
        <f t="shared" si="16"/>
        <v>Moderate</v>
      </c>
      <c r="BJ10" s="29" t="b">
        <v>0</v>
      </c>
    </row>
    <row r="11">
      <c r="A11" s="28">
        <v>9.0</v>
      </c>
      <c r="B11" s="29" t="s">
        <v>134</v>
      </c>
      <c r="C11" s="38"/>
      <c r="D11" s="21">
        <v>2.0</v>
      </c>
      <c r="E11" s="21">
        <v>2.0</v>
      </c>
      <c r="F11" s="21">
        <v>1.0</v>
      </c>
      <c r="G11" s="21">
        <v>2.0</v>
      </c>
      <c r="H11" s="21">
        <v>2.0</v>
      </c>
      <c r="I11" s="30">
        <f t="shared" si="1"/>
        <v>9</v>
      </c>
      <c r="J11" s="30" t="str">
        <f t="shared" si="2"/>
        <v>Low</v>
      </c>
      <c r="K11" s="21" t="s">
        <v>135</v>
      </c>
      <c r="L11" s="22">
        <v>2.0</v>
      </c>
      <c r="M11" s="22">
        <v>2.0</v>
      </c>
      <c r="N11" s="22">
        <v>0.0</v>
      </c>
      <c r="O11" s="22">
        <v>2.0</v>
      </c>
      <c r="P11" s="22">
        <v>2.0</v>
      </c>
      <c r="Q11" s="31">
        <f t="shared" si="3"/>
        <v>8</v>
      </c>
      <c r="R11" s="31" t="str">
        <f t="shared" si="4"/>
        <v>Low</v>
      </c>
      <c r="S11" s="22" t="s">
        <v>136</v>
      </c>
      <c r="T11" s="23">
        <v>2.0</v>
      </c>
      <c r="U11" s="23">
        <v>2.0</v>
      </c>
      <c r="V11" s="23">
        <v>2.0</v>
      </c>
      <c r="W11" s="23">
        <v>2.0</v>
      </c>
      <c r="X11" s="23">
        <v>2.0</v>
      </c>
      <c r="Y11" s="32">
        <f t="shared" si="5"/>
        <v>10</v>
      </c>
      <c r="Z11" s="32" t="str">
        <f t="shared" si="6"/>
        <v>Low</v>
      </c>
      <c r="AA11" s="23" t="s">
        <v>137</v>
      </c>
      <c r="AB11" s="24">
        <v>2.0</v>
      </c>
      <c r="AC11" s="24">
        <v>2.0</v>
      </c>
      <c r="AD11" s="24">
        <v>2.0</v>
      </c>
      <c r="AE11" s="24">
        <v>1.0</v>
      </c>
      <c r="AF11" s="24">
        <v>2.0</v>
      </c>
      <c r="AG11" s="33">
        <f t="shared" si="7"/>
        <v>9</v>
      </c>
      <c r="AH11" s="33" t="str">
        <f t="shared" si="8"/>
        <v>Low</v>
      </c>
      <c r="AI11" s="24" t="s">
        <v>138</v>
      </c>
      <c r="AJ11" s="25">
        <v>2.0</v>
      </c>
      <c r="AK11" s="25">
        <v>2.0</v>
      </c>
      <c r="AL11" s="25">
        <v>1.0</v>
      </c>
      <c r="AM11" s="25">
        <v>2.0</v>
      </c>
      <c r="AN11" s="25">
        <v>2.0</v>
      </c>
      <c r="AO11" s="34">
        <f t="shared" si="9"/>
        <v>9</v>
      </c>
      <c r="AP11" s="34" t="str">
        <f t="shared" si="10"/>
        <v>Low</v>
      </c>
      <c r="AQ11" s="25" t="s">
        <v>139</v>
      </c>
      <c r="AR11" s="26">
        <v>1.0</v>
      </c>
      <c r="AS11" s="26">
        <v>1.0</v>
      </c>
      <c r="AT11" s="26">
        <v>0.0</v>
      </c>
      <c r="AU11" s="26">
        <v>0.0</v>
      </c>
      <c r="AV11" s="26">
        <v>1.0</v>
      </c>
      <c r="AW11" s="35">
        <f t="shared" si="11"/>
        <v>3</v>
      </c>
      <c r="AX11" s="35" t="str">
        <f t="shared" si="12"/>
        <v>Serious</v>
      </c>
      <c r="AY11" s="26" t="s">
        <v>140</v>
      </c>
      <c r="AZ11" s="27">
        <v>2.0</v>
      </c>
      <c r="BA11" s="27">
        <v>2.0</v>
      </c>
      <c r="BB11" s="27">
        <v>2.0</v>
      </c>
      <c r="BC11" s="27">
        <v>2.0</v>
      </c>
      <c r="BD11" s="27">
        <v>2.0</v>
      </c>
      <c r="BE11" s="36">
        <f t="shared" si="13"/>
        <v>10</v>
      </c>
      <c r="BF11" s="36" t="str">
        <f t="shared" si="14"/>
        <v>Low</v>
      </c>
      <c r="BG11" s="27" t="s">
        <v>141</v>
      </c>
      <c r="BH11" s="37">
        <f t="shared" si="15"/>
        <v>58</v>
      </c>
      <c r="BI11" s="37" t="str">
        <f t="shared" si="16"/>
        <v>Low</v>
      </c>
      <c r="BJ11" s="29" t="b">
        <v>0</v>
      </c>
    </row>
    <row r="12">
      <c r="A12" s="28">
        <v>10.0</v>
      </c>
      <c r="B12" s="29" t="s">
        <v>142</v>
      </c>
      <c r="C12" s="29">
        <v>2025.0</v>
      </c>
      <c r="D12" s="21">
        <v>2.0</v>
      </c>
      <c r="E12" s="21">
        <v>2.0</v>
      </c>
      <c r="F12" s="21">
        <v>2.0</v>
      </c>
      <c r="G12" s="21">
        <v>1.0</v>
      </c>
      <c r="H12" s="21">
        <v>2.0</v>
      </c>
      <c r="I12" s="30">
        <f t="shared" si="1"/>
        <v>9</v>
      </c>
      <c r="J12" s="30" t="str">
        <f t="shared" si="2"/>
        <v>Low</v>
      </c>
      <c r="K12" s="21" t="s">
        <v>143</v>
      </c>
      <c r="L12" s="22">
        <v>1.0</v>
      </c>
      <c r="M12" s="22">
        <v>2.0</v>
      </c>
      <c r="N12" s="22">
        <v>0.0</v>
      </c>
      <c r="O12" s="22">
        <v>2.0</v>
      </c>
      <c r="P12" s="22">
        <v>2.0</v>
      </c>
      <c r="Q12" s="31">
        <f t="shared" si="3"/>
        <v>7</v>
      </c>
      <c r="R12" s="31" t="str">
        <f t="shared" si="4"/>
        <v>Moderate</v>
      </c>
      <c r="S12" s="22" t="s">
        <v>143</v>
      </c>
      <c r="T12" s="23">
        <v>2.0</v>
      </c>
      <c r="U12" s="23">
        <v>1.0</v>
      </c>
      <c r="V12" s="23">
        <v>2.0</v>
      </c>
      <c r="W12" s="23">
        <v>2.0</v>
      </c>
      <c r="X12" s="23">
        <v>2.0</v>
      </c>
      <c r="Y12" s="32">
        <f t="shared" si="5"/>
        <v>9</v>
      </c>
      <c r="Z12" s="32" t="str">
        <f t="shared" si="6"/>
        <v>Low</v>
      </c>
      <c r="AA12" s="23" t="s">
        <v>144</v>
      </c>
      <c r="AB12" s="24">
        <v>2.0</v>
      </c>
      <c r="AC12" s="24">
        <v>2.0</v>
      </c>
      <c r="AD12" s="24">
        <v>2.0</v>
      </c>
      <c r="AE12" s="24">
        <v>1.0</v>
      </c>
      <c r="AF12" s="24">
        <v>2.0</v>
      </c>
      <c r="AG12" s="33">
        <f t="shared" si="7"/>
        <v>9</v>
      </c>
      <c r="AH12" s="33" t="str">
        <f t="shared" si="8"/>
        <v>Low</v>
      </c>
      <c r="AI12" s="24" t="s">
        <v>145</v>
      </c>
      <c r="AJ12" s="25">
        <v>2.0</v>
      </c>
      <c r="AK12" s="25">
        <v>2.0</v>
      </c>
      <c r="AL12" s="25">
        <v>2.0</v>
      </c>
      <c r="AM12" s="25">
        <v>2.0</v>
      </c>
      <c r="AN12" s="25">
        <v>2.0</v>
      </c>
      <c r="AO12" s="34">
        <f t="shared" si="9"/>
        <v>10</v>
      </c>
      <c r="AP12" s="34" t="str">
        <f t="shared" si="10"/>
        <v>Low</v>
      </c>
      <c r="AQ12" s="25" t="s">
        <v>146</v>
      </c>
      <c r="AR12" s="26">
        <v>1.0</v>
      </c>
      <c r="AS12" s="26">
        <v>0.0</v>
      </c>
      <c r="AT12" s="26">
        <v>-1.0</v>
      </c>
      <c r="AU12" s="26">
        <v>2.0</v>
      </c>
      <c r="AV12" s="26">
        <v>1.0</v>
      </c>
      <c r="AW12" s="35">
        <f t="shared" si="11"/>
        <v>3</v>
      </c>
      <c r="AX12" s="35" t="str">
        <f t="shared" si="12"/>
        <v>Serious</v>
      </c>
      <c r="AY12" s="26" t="s">
        <v>147</v>
      </c>
      <c r="AZ12" s="27">
        <v>2.0</v>
      </c>
      <c r="BA12" s="27">
        <v>2.0</v>
      </c>
      <c r="BB12" s="27">
        <v>2.0</v>
      </c>
      <c r="BC12" s="27">
        <v>1.0</v>
      </c>
      <c r="BD12" s="27">
        <v>2.0</v>
      </c>
      <c r="BE12" s="36">
        <f t="shared" si="13"/>
        <v>9</v>
      </c>
      <c r="BF12" s="36" t="str">
        <f t="shared" si="14"/>
        <v>Low</v>
      </c>
      <c r="BG12" s="27" t="s">
        <v>148</v>
      </c>
      <c r="BH12" s="37">
        <f t="shared" si="15"/>
        <v>56</v>
      </c>
      <c r="BI12" s="37" t="str">
        <f t="shared" si="16"/>
        <v>Low</v>
      </c>
      <c r="BJ12" s="29" t="b">
        <v>0</v>
      </c>
    </row>
    <row r="13">
      <c r="A13" s="28">
        <v>11.0</v>
      </c>
      <c r="B13" s="29" t="s">
        <v>149</v>
      </c>
      <c r="C13" s="29">
        <v>2024.0</v>
      </c>
      <c r="D13" s="21">
        <v>2.0</v>
      </c>
      <c r="E13" s="21">
        <v>2.0</v>
      </c>
      <c r="F13" s="21">
        <v>1.0</v>
      </c>
      <c r="G13" s="21">
        <v>2.0</v>
      </c>
      <c r="H13" s="21">
        <v>1.0</v>
      </c>
      <c r="I13" s="30">
        <f t="shared" si="1"/>
        <v>8</v>
      </c>
      <c r="J13" s="30" t="str">
        <f t="shared" si="2"/>
        <v>Low</v>
      </c>
      <c r="K13" s="21" t="s">
        <v>150</v>
      </c>
      <c r="L13" s="22">
        <v>2.0</v>
      </c>
      <c r="M13" s="22">
        <v>2.0</v>
      </c>
      <c r="N13" s="22">
        <v>0.0</v>
      </c>
      <c r="O13" s="22">
        <v>1.0</v>
      </c>
      <c r="P13" s="22">
        <v>2.0</v>
      </c>
      <c r="Q13" s="31">
        <f t="shared" si="3"/>
        <v>7</v>
      </c>
      <c r="R13" s="31" t="str">
        <f t="shared" si="4"/>
        <v>Moderate</v>
      </c>
      <c r="S13" s="22" t="s">
        <v>151</v>
      </c>
      <c r="T13" s="23">
        <v>2.0</v>
      </c>
      <c r="U13" s="23">
        <v>-1.0</v>
      </c>
      <c r="V13" s="23">
        <v>2.0</v>
      </c>
      <c r="W13" s="23">
        <v>2.0</v>
      </c>
      <c r="X13" s="23">
        <v>2.0</v>
      </c>
      <c r="Y13" s="32">
        <f t="shared" si="5"/>
        <v>7</v>
      </c>
      <c r="Z13" s="32" t="str">
        <f t="shared" si="6"/>
        <v>Moderate</v>
      </c>
      <c r="AA13" s="23" t="s">
        <v>152</v>
      </c>
      <c r="AB13" s="24">
        <v>2.0</v>
      </c>
      <c r="AC13" s="24">
        <v>2.0</v>
      </c>
      <c r="AD13" s="24">
        <v>0.0</v>
      </c>
      <c r="AE13" s="24">
        <v>0.0</v>
      </c>
      <c r="AF13" s="24">
        <v>2.0</v>
      </c>
      <c r="AG13" s="33">
        <f t="shared" si="7"/>
        <v>6</v>
      </c>
      <c r="AH13" s="33" t="str">
        <f t="shared" si="8"/>
        <v>Moderate</v>
      </c>
      <c r="AI13" s="24" t="s">
        <v>153</v>
      </c>
      <c r="AJ13" s="25">
        <v>1.0</v>
      </c>
      <c r="AK13" s="25">
        <v>2.0</v>
      </c>
      <c r="AL13" s="25">
        <v>1.0</v>
      </c>
      <c r="AM13" s="25">
        <v>2.0</v>
      </c>
      <c r="AN13" s="25">
        <v>2.0</v>
      </c>
      <c r="AO13" s="34">
        <f t="shared" si="9"/>
        <v>8</v>
      </c>
      <c r="AP13" s="34" t="str">
        <f t="shared" si="10"/>
        <v>Low</v>
      </c>
      <c r="AQ13" s="25" t="s">
        <v>154</v>
      </c>
      <c r="AR13" s="26">
        <v>1.0</v>
      </c>
      <c r="AS13" s="26">
        <v>0.0</v>
      </c>
      <c r="AT13" s="26">
        <v>-2.0</v>
      </c>
      <c r="AU13" s="26">
        <v>0.0</v>
      </c>
      <c r="AV13" s="26">
        <v>0.0</v>
      </c>
      <c r="AW13" s="35">
        <f t="shared" si="11"/>
        <v>-1</v>
      </c>
      <c r="AX13" s="35" t="str">
        <f t="shared" si="12"/>
        <v>Critical</v>
      </c>
      <c r="AY13" s="26" t="s">
        <v>155</v>
      </c>
      <c r="AZ13" s="27">
        <v>2.0</v>
      </c>
      <c r="BA13" s="27">
        <v>2.0</v>
      </c>
      <c r="BB13" s="27">
        <v>2.0</v>
      </c>
      <c r="BC13" s="27">
        <v>-1.0</v>
      </c>
      <c r="BD13" s="27">
        <v>2.0</v>
      </c>
      <c r="BE13" s="36">
        <f t="shared" si="13"/>
        <v>7</v>
      </c>
      <c r="BF13" s="36" t="str">
        <f t="shared" si="14"/>
        <v>Moderate</v>
      </c>
      <c r="BG13" s="27" t="s">
        <v>156</v>
      </c>
      <c r="BH13" s="37">
        <f t="shared" si="15"/>
        <v>42</v>
      </c>
      <c r="BI13" s="37" t="str">
        <f t="shared" si="16"/>
        <v>Moderate</v>
      </c>
      <c r="BJ13" s="29" t="b">
        <v>0</v>
      </c>
    </row>
    <row r="14">
      <c r="A14" s="28">
        <v>12.0</v>
      </c>
      <c r="B14" s="29" t="s">
        <v>157</v>
      </c>
      <c r="C14" s="38"/>
      <c r="D14" s="21">
        <v>2.0</v>
      </c>
      <c r="E14" s="21">
        <v>2.0</v>
      </c>
      <c r="F14" s="21">
        <v>1.0</v>
      </c>
      <c r="G14" s="21">
        <v>2.0</v>
      </c>
      <c r="H14" s="21">
        <v>2.0</v>
      </c>
      <c r="I14" s="30">
        <f t="shared" si="1"/>
        <v>9</v>
      </c>
      <c r="J14" s="30" t="str">
        <f t="shared" si="2"/>
        <v>Low</v>
      </c>
      <c r="K14" s="21" t="s">
        <v>158</v>
      </c>
      <c r="L14" s="22">
        <v>2.0</v>
      </c>
      <c r="M14" s="22">
        <v>2.0</v>
      </c>
      <c r="N14" s="22">
        <v>0.0</v>
      </c>
      <c r="O14" s="22">
        <v>0.0</v>
      </c>
      <c r="P14" s="22">
        <v>2.0</v>
      </c>
      <c r="Q14" s="31">
        <f t="shared" si="3"/>
        <v>6</v>
      </c>
      <c r="R14" s="31" t="str">
        <f t="shared" si="4"/>
        <v>Moderate</v>
      </c>
      <c r="S14" s="22" t="s">
        <v>159</v>
      </c>
      <c r="T14" s="23">
        <v>2.0</v>
      </c>
      <c r="U14" s="23">
        <v>1.0</v>
      </c>
      <c r="V14" s="23">
        <v>2.0</v>
      </c>
      <c r="W14" s="23">
        <v>2.0</v>
      </c>
      <c r="X14" s="23">
        <v>2.0</v>
      </c>
      <c r="Y14" s="32">
        <f t="shared" si="5"/>
        <v>9</v>
      </c>
      <c r="Z14" s="32" t="str">
        <f t="shared" si="6"/>
        <v>Low</v>
      </c>
      <c r="AA14" s="23" t="s">
        <v>160</v>
      </c>
      <c r="AB14" s="24">
        <v>2.0</v>
      </c>
      <c r="AC14" s="24">
        <v>2.0</v>
      </c>
      <c r="AD14" s="24">
        <v>2.0</v>
      </c>
      <c r="AE14" s="24">
        <v>0.0</v>
      </c>
      <c r="AF14" s="24">
        <v>2.0</v>
      </c>
      <c r="AG14" s="33">
        <f t="shared" si="7"/>
        <v>8</v>
      </c>
      <c r="AH14" s="33" t="str">
        <f t="shared" si="8"/>
        <v>Low</v>
      </c>
      <c r="AI14" s="24" t="s">
        <v>161</v>
      </c>
      <c r="AJ14" s="25">
        <v>2.0</v>
      </c>
      <c r="AK14" s="25">
        <v>2.0</v>
      </c>
      <c r="AL14" s="25">
        <v>2.0</v>
      </c>
      <c r="AM14" s="25">
        <v>2.0</v>
      </c>
      <c r="AN14" s="25">
        <v>1.0</v>
      </c>
      <c r="AO14" s="34">
        <f t="shared" si="9"/>
        <v>9</v>
      </c>
      <c r="AP14" s="34" t="str">
        <f t="shared" si="10"/>
        <v>Low</v>
      </c>
      <c r="AQ14" s="25" t="s">
        <v>162</v>
      </c>
      <c r="AR14" s="26">
        <v>1.0</v>
      </c>
      <c r="AS14" s="26">
        <v>1.0</v>
      </c>
      <c r="AT14" s="26">
        <v>1.0</v>
      </c>
      <c r="AU14" s="26">
        <v>0.0</v>
      </c>
      <c r="AV14" s="26">
        <v>1.0</v>
      </c>
      <c r="AW14" s="35">
        <f t="shared" si="11"/>
        <v>4</v>
      </c>
      <c r="AX14" s="35" t="str">
        <f t="shared" si="12"/>
        <v>Moderate</v>
      </c>
      <c r="AY14" s="26" t="s">
        <v>163</v>
      </c>
      <c r="AZ14" s="27">
        <v>2.0</v>
      </c>
      <c r="BA14" s="27">
        <v>2.0</v>
      </c>
      <c r="BB14" s="27">
        <v>2.0</v>
      </c>
      <c r="BC14" s="27">
        <v>1.0</v>
      </c>
      <c r="BD14" s="27">
        <v>2.0</v>
      </c>
      <c r="BE14" s="36">
        <f t="shared" si="13"/>
        <v>9</v>
      </c>
      <c r="BF14" s="36" t="str">
        <f t="shared" si="14"/>
        <v>Low</v>
      </c>
      <c r="BG14" s="27" t="s">
        <v>164</v>
      </c>
      <c r="BH14" s="37">
        <f t="shared" si="15"/>
        <v>54</v>
      </c>
      <c r="BI14" s="37" t="str">
        <f t="shared" si="16"/>
        <v>Moderate</v>
      </c>
      <c r="BJ14" s="29" t="b">
        <v>0</v>
      </c>
    </row>
    <row r="15">
      <c r="A15" s="28">
        <v>13.0</v>
      </c>
      <c r="B15" s="29" t="s">
        <v>165</v>
      </c>
      <c r="C15" s="29">
        <v>2021.0</v>
      </c>
      <c r="D15" s="21">
        <v>2.0</v>
      </c>
      <c r="E15" s="21">
        <v>0.0</v>
      </c>
      <c r="F15" s="21">
        <v>0.0</v>
      </c>
      <c r="G15" s="21">
        <v>2.0</v>
      </c>
      <c r="H15" s="21">
        <v>1.0</v>
      </c>
      <c r="I15" s="30">
        <f t="shared" si="1"/>
        <v>5</v>
      </c>
      <c r="J15" s="30" t="str">
        <f t="shared" si="2"/>
        <v>Moderate</v>
      </c>
      <c r="K15" s="21" t="s">
        <v>166</v>
      </c>
      <c r="L15" s="22">
        <v>2.0</v>
      </c>
      <c r="M15" s="22">
        <v>2.0</v>
      </c>
      <c r="N15" s="22">
        <v>2.0</v>
      </c>
      <c r="O15" s="22">
        <v>1.0</v>
      </c>
      <c r="P15" s="22">
        <v>2.0</v>
      </c>
      <c r="Q15" s="31">
        <f t="shared" si="3"/>
        <v>9</v>
      </c>
      <c r="R15" s="31" t="str">
        <f t="shared" si="4"/>
        <v>Low</v>
      </c>
      <c r="S15" s="22" t="s">
        <v>167</v>
      </c>
      <c r="T15" s="23">
        <v>2.0</v>
      </c>
      <c r="U15" s="23">
        <v>0.0</v>
      </c>
      <c r="V15" s="23">
        <v>2.0</v>
      </c>
      <c r="W15" s="23">
        <v>2.0</v>
      </c>
      <c r="X15" s="23">
        <v>2.0</v>
      </c>
      <c r="Y15" s="32">
        <f t="shared" si="5"/>
        <v>8</v>
      </c>
      <c r="Z15" s="32" t="str">
        <f t="shared" si="6"/>
        <v>Low</v>
      </c>
      <c r="AA15" s="23" t="s">
        <v>168</v>
      </c>
      <c r="AB15" s="24">
        <v>2.0</v>
      </c>
      <c r="AC15" s="24">
        <v>0.0</v>
      </c>
      <c r="AD15" s="24">
        <v>0.0</v>
      </c>
      <c r="AE15" s="24">
        <v>0.0</v>
      </c>
      <c r="AF15" s="24">
        <v>2.0</v>
      </c>
      <c r="AG15" s="33">
        <f t="shared" si="7"/>
        <v>4</v>
      </c>
      <c r="AH15" s="33" t="str">
        <f t="shared" si="8"/>
        <v>Moderate</v>
      </c>
      <c r="AI15" s="24" t="s">
        <v>169</v>
      </c>
      <c r="AJ15" s="25">
        <v>2.0</v>
      </c>
      <c r="AK15" s="25">
        <v>2.0</v>
      </c>
      <c r="AL15" s="25">
        <v>2.0</v>
      </c>
      <c r="AM15" s="25">
        <v>2.0</v>
      </c>
      <c r="AN15" s="25">
        <v>2.0</v>
      </c>
      <c r="AO15" s="34">
        <f t="shared" si="9"/>
        <v>10</v>
      </c>
      <c r="AP15" s="34" t="str">
        <f t="shared" si="10"/>
        <v>Low</v>
      </c>
      <c r="AQ15" s="25" t="s">
        <v>170</v>
      </c>
      <c r="AR15" s="26">
        <v>0.0</v>
      </c>
      <c r="AS15" s="26">
        <v>0.0</v>
      </c>
      <c r="AT15" s="26">
        <v>-2.0</v>
      </c>
      <c r="AU15" s="26">
        <v>0.0</v>
      </c>
      <c r="AV15" s="26">
        <v>0.0</v>
      </c>
      <c r="AW15" s="35">
        <f t="shared" si="11"/>
        <v>-2</v>
      </c>
      <c r="AX15" s="35" t="str">
        <f t="shared" si="12"/>
        <v>Critical</v>
      </c>
      <c r="AY15" s="26" t="s">
        <v>171</v>
      </c>
      <c r="AZ15" s="27">
        <v>2.0</v>
      </c>
      <c r="BA15" s="27">
        <v>2.0</v>
      </c>
      <c r="BB15" s="27">
        <v>2.0</v>
      </c>
      <c r="BC15" s="27">
        <v>1.0</v>
      </c>
      <c r="BD15" s="27">
        <v>2.0</v>
      </c>
      <c r="BE15" s="36">
        <f t="shared" si="13"/>
        <v>9</v>
      </c>
      <c r="BF15" s="36" t="str">
        <f t="shared" si="14"/>
        <v>Low</v>
      </c>
      <c r="BG15" s="27" t="s">
        <v>172</v>
      </c>
      <c r="BH15" s="37">
        <f t="shared" si="15"/>
        <v>43</v>
      </c>
      <c r="BI15" s="37" t="str">
        <f t="shared" si="16"/>
        <v>Moderate</v>
      </c>
      <c r="BJ15" s="29" t="b">
        <v>0</v>
      </c>
    </row>
    <row r="16">
      <c r="A16" s="28">
        <v>14.0</v>
      </c>
      <c r="B16" s="29" t="s">
        <v>173</v>
      </c>
      <c r="C16" s="29">
        <v>2025.0</v>
      </c>
      <c r="D16" s="21">
        <v>2.0</v>
      </c>
      <c r="E16" s="21">
        <v>2.0</v>
      </c>
      <c r="F16" s="21">
        <v>1.0</v>
      </c>
      <c r="G16" s="21">
        <v>2.0</v>
      </c>
      <c r="H16" s="21">
        <v>1.0</v>
      </c>
      <c r="I16" s="30">
        <f t="shared" si="1"/>
        <v>8</v>
      </c>
      <c r="J16" s="30" t="str">
        <f t="shared" si="2"/>
        <v>Low</v>
      </c>
      <c r="K16" s="21" t="s">
        <v>174</v>
      </c>
      <c r="L16" s="22">
        <v>2.0</v>
      </c>
      <c r="M16" s="22">
        <v>2.0</v>
      </c>
      <c r="N16" s="22">
        <v>0.0</v>
      </c>
      <c r="O16" s="22">
        <v>2.0</v>
      </c>
      <c r="P16" s="22">
        <v>1.0</v>
      </c>
      <c r="Q16" s="31">
        <f t="shared" si="3"/>
        <v>7</v>
      </c>
      <c r="R16" s="31" t="str">
        <f t="shared" si="4"/>
        <v>Moderate</v>
      </c>
      <c r="S16" s="22" t="s">
        <v>175</v>
      </c>
      <c r="T16" s="23">
        <v>2.0</v>
      </c>
      <c r="U16" s="23">
        <v>2.0</v>
      </c>
      <c r="V16" s="23">
        <v>2.0</v>
      </c>
      <c r="W16" s="23">
        <v>2.0</v>
      </c>
      <c r="X16" s="23">
        <v>2.0</v>
      </c>
      <c r="Y16" s="32">
        <f t="shared" si="5"/>
        <v>10</v>
      </c>
      <c r="Z16" s="32" t="str">
        <f t="shared" si="6"/>
        <v>Low</v>
      </c>
      <c r="AA16" s="23" t="s">
        <v>176</v>
      </c>
      <c r="AB16" s="24">
        <v>2.0</v>
      </c>
      <c r="AC16" s="24">
        <v>2.0</v>
      </c>
      <c r="AD16" s="24">
        <v>2.0</v>
      </c>
      <c r="AE16" s="24">
        <v>0.0</v>
      </c>
      <c r="AF16" s="24">
        <v>2.0</v>
      </c>
      <c r="AG16" s="33">
        <f t="shared" si="7"/>
        <v>8</v>
      </c>
      <c r="AH16" s="33" t="str">
        <f t="shared" si="8"/>
        <v>Low</v>
      </c>
      <c r="AI16" s="24" t="s">
        <v>177</v>
      </c>
      <c r="AJ16" s="25">
        <v>2.0</v>
      </c>
      <c r="AK16" s="25">
        <v>2.0</v>
      </c>
      <c r="AL16" s="25">
        <v>2.0</v>
      </c>
      <c r="AM16" s="25">
        <v>2.0</v>
      </c>
      <c r="AN16" s="25">
        <v>2.0</v>
      </c>
      <c r="AO16" s="34">
        <f t="shared" si="9"/>
        <v>10</v>
      </c>
      <c r="AP16" s="34" t="str">
        <f t="shared" si="10"/>
        <v>Low</v>
      </c>
      <c r="AQ16" s="25" t="s">
        <v>178</v>
      </c>
      <c r="AR16" s="26">
        <v>1.0</v>
      </c>
      <c r="AS16" s="26">
        <v>0.0</v>
      </c>
      <c r="AT16" s="26">
        <v>-1.0</v>
      </c>
      <c r="AU16" s="26">
        <v>0.0</v>
      </c>
      <c r="AV16" s="26">
        <v>0.0</v>
      </c>
      <c r="AW16" s="35">
        <f t="shared" si="11"/>
        <v>0</v>
      </c>
      <c r="AX16" s="35" t="str">
        <f t="shared" si="12"/>
        <v>Serious</v>
      </c>
      <c r="AY16" s="26" t="s">
        <v>179</v>
      </c>
      <c r="AZ16" s="27">
        <v>2.0</v>
      </c>
      <c r="BA16" s="27">
        <v>2.0</v>
      </c>
      <c r="BB16" s="27">
        <v>2.0</v>
      </c>
      <c r="BC16" s="27">
        <v>2.0</v>
      </c>
      <c r="BD16" s="27">
        <v>2.0</v>
      </c>
      <c r="BE16" s="36">
        <f t="shared" si="13"/>
        <v>10</v>
      </c>
      <c r="BF16" s="36" t="str">
        <f t="shared" si="14"/>
        <v>Low</v>
      </c>
      <c r="BG16" s="27" t="s">
        <v>180</v>
      </c>
      <c r="BH16" s="37">
        <f t="shared" si="15"/>
        <v>53</v>
      </c>
      <c r="BI16" s="37" t="str">
        <f t="shared" si="16"/>
        <v>Moderate</v>
      </c>
      <c r="BJ16" s="29" t="b">
        <v>0</v>
      </c>
    </row>
    <row r="17">
      <c r="A17" s="28">
        <v>15.0</v>
      </c>
      <c r="B17" s="29" t="s">
        <v>181</v>
      </c>
      <c r="C17" s="29">
        <v>2020.0</v>
      </c>
      <c r="D17" s="21">
        <v>2.0</v>
      </c>
      <c r="E17" s="21">
        <v>1.0</v>
      </c>
      <c r="F17" s="21">
        <v>1.0</v>
      </c>
      <c r="G17" s="21">
        <v>2.0</v>
      </c>
      <c r="H17" s="21">
        <v>2.0</v>
      </c>
      <c r="I17" s="30">
        <f t="shared" si="1"/>
        <v>8</v>
      </c>
      <c r="J17" s="30" t="str">
        <f t="shared" si="2"/>
        <v>Low</v>
      </c>
      <c r="K17" s="21" t="s">
        <v>182</v>
      </c>
      <c r="L17" s="22">
        <v>1.0</v>
      </c>
      <c r="M17" s="22">
        <v>2.0</v>
      </c>
      <c r="N17" s="22">
        <v>0.0</v>
      </c>
      <c r="O17" s="22">
        <v>2.0</v>
      </c>
      <c r="P17" s="22">
        <v>2.0</v>
      </c>
      <c r="Q17" s="31">
        <f t="shared" si="3"/>
        <v>7</v>
      </c>
      <c r="R17" s="31" t="str">
        <f t="shared" si="4"/>
        <v>Moderate</v>
      </c>
      <c r="S17" s="22" t="s">
        <v>183</v>
      </c>
      <c r="T17" s="23">
        <v>2.0</v>
      </c>
      <c r="U17" s="23">
        <v>2.0</v>
      </c>
      <c r="V17" s="23">
        <v>2.0</v>
      </c>
      <c r="W17" s="23">
        <v>2.0</v>
      </c>
      <c r="X17" s="23">
        <v>2.0</v>
      </c>
      <c r="Y17" s="32">
        <f t="shared" si="5"/>
        <v>10</v>
      </c>
      <c r="Z17" s="32" t="str">
        <f t="shared" si="6"/>
        <v>Low</v>
      </c>
      <c r="AA17" s="23" t="s">
        <v>184</v>
      </c>
      <c r="AB17" s="24">
        <v>2.0</v>
      </c>
      <c r="AC17" s="24">
        <v>2.0</v>
      </c>
      <c r="AD17" s="24">
        <v>0.0</v>
      </c>
      <c r="AE17" s="24">
        <v>0.0</v>
      </c>
      <c r="AF17" s="24">
        <v>2.0</v>
      </c>
      <c r="AG17" s="33">
        <f t="shared" si="7"/>
        <v>6</v>
      </c>
      <c r="AH17" s="33" t="str">
        <f t="shared" si="8"/>
        <v>Moderate</v>
      </c>
      <c r="AI17" s="24" t="s">
        <v>185</v>
      </c>
      <c r="AJ17" s="25">
        <v>2.0</v>
      </c>
      <c r="AK17" s="25">
        <v>2.0</v>
      </c>
      <c r="AL17" s="25">
        <v>2.0</v>
      </c>
      <c r="AM17" s="25">
        <v>2.0</v>
      </c>
      <c r="AN17" s="25">
        <v>2.0</v>
      </c>
      <c r="AO17" s="34">
        <f t="shared" si="9"/>
        <v>10</v>
      </c>
      <c r="AP17" s="34" t="str">
        <f t="shared" si="10"/>
        <v>Low</v>
      </c>
      <c r="AQ17" s="25" t="s">
        <v>186</v>
      </c>
      <c r="AR17" s="26">
        <v>1.0</v>
      </c>
      <c r="AS17" s="26">
        <v>1.0</v>
      </c>
      <c r="AT17" s="26">
        <v>2.0</v>
      </c>
      <c r="AU17" s="26">
        <v>0.0</v>
      </c>
      <c r="AV17" s="26">
        <v>0.0</v>
      </c>
      <c r="AW17" s="35">
        <f t="shared" si="11"/>
        <v>4</v>
      </c>
      <c r="AX17" s="35" t="str">
        <f t="shared" si="12"/>
        <v>Moderate</v>
      </c>
      <c r="AY17" s="26" t="s">
        <v>187</v>
      </c>
      <c r="AZ17" s="27">
        <v>2.0</v>
      </c>
      <c r="BA17" s="27">
        <v>2.0</v>
      </c>
      <c r="BB17" s="27">
        <v>2.0</v>
      </c>
      <c r="BC17" s="27">
        <v>2.0</v>
      </c>
      <c r="BD17" s="27">
        <v>2.0</v>
      </c>
      <c r="BE17" s="36">
        <f t="shared" si="13"/>
        <v>10</v>
      </c>
      <c r="BF17" s="36" t="str">
        <f t="shared" si="14"/>
        <v>Low</v>
      </c>
      <c r="BG17" s="27" t="s">
        <v>188</v>
      </c>
      <c r="BH17" s="37">
        <f t="shared" si="15"/>
        <v>55</v>
      </c>
      <c r="BI17" s="37" t="str">
        <f t="shared" si="16"/>
        <v>Moderate</v>
      </c>
      <c r="BJ17" s="29" t="b">
        <v>0</v>
      </c>
    </row>
    <row r="18">
      <c r="A18" s="28">
        <v>16.0</v>
      </c>
      <c r="B18" s="29" t="s">
        <v>189</v>
      </c>
      <c r="C18" s="29">
        <v>2023.0</v>
      </c>
      <c r="D18" s="21">
        <v>2.0</v>
      </c>
      <c r="E18" s="21">
        <v>2.0</v>
      </c>
      <c r="F18" s="21">
        <v>1.0</v>
      </c>
      <c r="G18" s="21">
        <v>2.0</v>
      </c>
      <c r="H18" s="21">
        <v>2.0</v>
      </c>
      <c r="I18" s="30">
        <f t="shared" si="1"/>
        <v>9</v>
      </c>
      <c r="J18" s="30" t="str">
        <f t="shared" si="2"/>
        <v>Low</v>
      </c>
      <c r="K18" s="21" t="s">
        <v>190</v>
      </c>
      <c r="L18" s="22">
        <v>2.0</v>
      </c>
      <c r="M18" s="22">
        <v>2.0</v>
      </c>
      <c r="N18" s="22">
        <v>2.0</v>
      </c>
      <c r="O18" s="22">
        <v>2.0</v>
      </c>
      <c r="P18" s="22">
        <v>2.0</v>
      </c>
      <c r="Q18" s="31">
        <f t="shared" si="3"/>
        <v>10</v>
      </c>
      <c r="R18" s="31" t="str">
        <f t="shared" si="4"/>
        <v>Low</v>
      </c>
      <c r="S18" s="22" t="s">
        <v>191</v>
      </c>
      <c r="T18" s="23">
        <v>2.0</v>
      </c>
      <c r="U18" s="23">
        <v>2.0</v>
      </c>
      <c r="V18" s="23">
        <v>2.0</v>
      </c>
      <c r="W18" s="23">
        <v>2.0</v>
      </c>
      <c r="X18" s="23">
        <v>2.0</v>
      </c>
      <c r="Y18" s="32">
        <f t="shared" si="5"/>
        <v>10</v>
      </c>
      <c r="Z18" s="32" t="str">
        <f t="shared" si="6"/>
        <v>Low</v>
      </c>
      <c r="AA18" s="23" t="s">
        <v>192</v>
      </c>
      <c r="AB18" s="24">
        <v>2.0</v>
      </c>
      <c r="AC18" s="24">
        <v>0.0</v>
      </c>
      <c r="AD18" s="24">
        <v>0.0</v>
      </c>
      <c r="AE18" s="24">
        <v>0.0</v>
      </c>
      <c r="AF18" s="24">
        <v>2.0</v>
      </c>
      <c r="AG18" s="33">
        <f t="shared" si="7"/>
        <v>4</v>
      </c>
      <c r="AH18" s="33" t="str">
        <f t="shared" si="8"/>
        <v>Moderate</v>
      </c>
      <c r="AI18" s="24" t="s">
        <v>193</v>
      </c>
      <c r="AJ18" s="25">
        <v>2.0</v>
      </c>
      <c r="AK18" s="25">
        <v>2.0</v>
      </c>
      <c r="AL18" s="25">
        <v>2.0</v>
      </c>
      <c r="AM18" s="25">
        <v>2.0</v>
      </c>
      <c r="AN18" s="25">
        <v>2.0</v>
      </c>
      <c r="AO18" s="34">
        <f t="shared" si="9"/>
        <v>10</v>
      </c>
      <c r="AP18" s="34" t="str">
        <f t="shared" si="10"/>
        <v>Low</v>
      </c>
      <c r="AQ18" s="25" t="s">
        <v>194</v>
      </c>
      <c r="AR18" s="26">
        <v>2.0</v>
      </c>
      <c r="AS18" s="26">
        <v>2.0</v>
      </c>
      <c r="AT18" s="26">
        <v>0.0</v>
      </c>
      <c r="AU18" s="26">
        <v>0.0</v>
      </c>
      <c r="AV18" s="26">
        <v>0.0</v>
      </c>
      <c r="AW18" s="35">
        <f t="shared" si="11"/>
        <v>4</v>
      </c>
      <c r="AX18" s="35" t="str">
        <f t="shared" si="12"/>
        <v>Moderate</v>
      </c>
      <c r="AY18" s="26" t="s">
        <v>195</v>
      </c>
      <c r="AZ18" s="27">
        <v>2.0</v>
      </c>
      <c r="BA18" s="27">
        <v>2.0</v>
      </c>
      <c r="BB18" s="27">
        <v>2.0</v>
      </c>
      <c r="BC18" s="27">
        <v>2.0</v>
      </c>
      <c r="BD18" s="27">
        <v>2.0</v>
      </c>
      <c r="BE18" s="36">
        <f t="shared" si="13"/>
        <v>10</v>
      </c>
      <c r="BF18" s="36" t="str">
        <f t="shared" si="14"/>
        <v>Low</v>
      </c>
      <c r="BG18" s="27" t="s">
        <v>196</v>
      </c>
      <c r="BH18" s="37">
        <f t="shared" si="15"/>
        <v>57</v>
      </c>
      <c r="BI18" s="37" t="str">
        <f t="shared" si="16"/>
        <v>Low</v>
      </c>
      <c r="BJ18" s="29" t="b">
        <v>0</v>
      </c>
    </row>
    <row r="19">
      <c r="A19" s="28">
        <v>17.0</v>
      </c>
      <c r="B19" s="29" t="s">
        <v>197</v>
      </c>
      <c r="C19" s="29" t="s">
        <v>198</v>
      </c>
      <c r="D19" s="21">
        <v>2.0</v>
      </c>
      <c r="E19" s="21">
        <v>2.0</v>
      </c>
      <c r="F19" s="21">
        <v>1.0</v>
      </c>
      <c r="G19" s="21">
        <v>2.0</v>
      </c>
      <c r="H19" s="21">
        <v>1.0</v>
      </c>
      <c r="I19" s="30">
        <f t="shared" si="1"/>
        <v>8</v>
      </c>
      <c r="J19" s="30" t="str">
        <f t="shared" si="2"/>
        <v>Low</v>
      </c>
      <c r="K19" s="21" t="s">
        <v>199</v>
      </c>
      <c r="L19" s="22">
        <v>2.0</v>
      </c>
      <c r="M19" s="22">
        <v>2.0</v>
      </c>
      <c r="N19" s="22">
        <v>0.0</v>
      </c>
      <c r="O19" s="22">
        <v>2.0</v>
      </c>
      <c r="P19" s="22">
        <v>2.0</v>
      </c>
      <c r="Q19" s="31">
        <f t="shared" si="3"/>
        <v>8</v>
      </c>
      <c r="R19" s="31" t="str">
        <f t="shared" si="4"/>
        <v>Low</v>
      </c>
      <c r="S19" s="22" t="s">
        <v>200</v>
      </c>
      <c r="T19" s="23">
        <v>2.0</v>
      </c>
      <c r="U19" s="23">
        <v>0.0</v>
      </c>
      <c r="V19" s="23">
        <v>2.0</v>
      </c>
      <c r="W19" s="23">
        <v>2.0</v>
      </c>
      <c r="X19" s="23">
        <v>2.0</v>
      </c>
      <c r="Y19" s="32">
        <f t="shared" si="5"/>
        <v>8</v>
      </c>
      <c r="Z19" s="32" t="str">
        <f t="shared" si="6"/>
        <v>Low</v>
      </c>
      <c r="AA19" s="23" t="s">
        <v>201</v>
      </c>
      <c r="AB19" s="24">
        <v>2.0</v>
      </c>
      <c r="AC19" s="24">
        <v>2.0</v>
      </c>
      <c r="AD19" s="24">
        <v>0.0</v>
      </c>
      <c r="AE19" s="24">
        <v>0.0</v>
      </c>
      <c r="AF19" s="24">
        <v>2.0</v>
      </c>
      <c r="AG19" s="33">
        <f t="shared" si="7"/>
        <v>6</v>
      </c>
      <c r="AH19" s="33" t="str">
        <f t="shared" si="8"/>
        <v>Moderate</v>
      </c>
      <c r="AI19" s="24" t="s">
        <v>202</v>
      </c>
      <c r="AJ19" s="25">
        <v>1.0</v>
      </c>
      <c r="AK19" s="25">
        <v>1.0</v>
      </c>
      <c r="AL19" s="25">
        <v>0.0</v>
      </c>
      <c r="AM19" s="25">
        <v>2.0</v>
      </c>
      <c r="AN19" s="25">
        <v>1.0</v>
      </c>
      <c r="AO19" s="34">
        <f t="shared" si="9"/>
        <v>5</v>
      </c>
      <c r="AP19" s="34" t="str">
        <f t="shared" si="10"/>
        <v>Moderate</v>
      </c>
      <c r="AQ19" s="25" t="s">
        <v>203</v>
      </c>
      <c r="AR19" s="26">
        <v>1.0</v>
      </c>
      <c r="AS19" s="26">
        <v>2.0</v>
      </c>
      <c r="AT19" s="26">
        <v>-1.0</v>
      </c>
      <c r="AU19" s="26">
        <v>1.0</v>
      </c>
      <c r="AV19" s="26">
        <v>2.0</v>
      </c>
      <c r="AW19" s="35">
        <f t="shared" si="11"/>
        <v>5</v>
      </c>
      <c r="AX19" s="35" t="str">
        <f t="shared" si="12"/>
        <v>Moderate</v>
      </c>
      <c r="AY19" s="26" t="s">
        <v>204</v>
      </c>
      <c r="AZ19" s="27">
        <v>2.0</v>
      </c>
      <c r="BA19" s="27">
        <v>1.0</v>
      </c>
      <c r="BB19" s="27">
        <v>2.0</v>
      </c>
      <c r="BC19" s="27">
        <v>1.0</v>
      </c>
      <c r="BD19" s="27">
        <v>2.0</v>
      </c>
      <c r="BE19" s="36">
        <f t="shared" si="13"/>
        <v>8</v>
      </c>
      <c r="BF19" s="36" t="str">
        <f t="shared" si="14"/>
        <v>Low</v>
      </c>
      <c r="BG19" s="27" t="s">
        <v>205</v>
      </c>
      <c r="BH19" s="37">
        <f t="shared" si="15"/>
        <v>48</v>
      </c>
      <c r="BI19" s="37" t="str">
        <f t="shared" si="16"/>
        <v>Moderate</v>
      </c>
      <c r="BJ19" s="29" t="b">
        <v>0</v>
      </c>
    </row>
    <row r="20">
      <c r="A20" s="28">
        <v>18.0</v>
      </c>
      <c r="B20" s="29" t="s">
        <v>206</v>
      </c>
      <c r="C20" s="29">
        <v>2023.0</v>
      </c>
      <c r="D20" s="21">
        <v>2.0</v>
      </c>
      <c r="E20" s="21">
        <v>2.0</v>
      </c>
      <c r="F20" s="21">
        <v>2.0</v>
      </c>
      <c r="G20" s="21">
        <v>2.0</v>
      </c>
      <c r="H20" s="21">
        <v>1.0</v>
      </c>
      <c r="I20" s="30">
        <f t="shared" si="1"/>
        <v>9</v>
      </c>
      <c r="J20" s="30" t="str">
        <f t="shared" si="2"/>
        <v>Low</v>
      </c>
      <c r="K20" s="21" t="s">
        <v>207</v>
      </c>
      <c r="L20" s="22">
        <v>2.0</v>
      </c>
      <c r="M20" s="22">
        <v>2.0</v>
      </c>
      <c r="N20" s="22">
        <v>0.0</v>
      </c>
      <c r="O20" s="22">
        <v>1.0</v>
      </c>
      <c r="P20" s="22">
        <v>2.0</v>
      </c>
      <c r="Q20" s="31">
        <f t="shared" si="3"/>
        <v>7</v>
      </c>
      <c r="R20" s="31" t="str">
        <f t="shared" si="4"/>
        <v>Moderate</v>
      </c>
      <c r="S20" s="22" t="s">
        <v>208</v>
      </c>
      <c r="T20" s="23">
        <v>2.0</v>
      </c>
      <c r="U20" s="23">
        <v>2.0</v>
      </c>
      <c r="V20" s="23">
        <v>2.0</v>
      </c>
      <c r="W20" s="23">
        <v>2.0</v>
      </c>
      <c r="X20" s="23">
        <v>2.0</v>
      </c>
      <c r="Y20" s="32">
        <f t="shared" si="5"/>
        <v>10</v>
      </c>
      <c r="Z20" s="32" t="str">
        <f t="shared" si="6"/>
        <v>Low</v>
      </c>
      <c r="AA20" s="23" t="s">
        <v>209</v>
      </c>
      <c r="AB20" s="24">
        <v>2.0</v>
      </c>
      <c r="AC20" s="24">
        <v>2.0</v>
      </c>
      <c r="AD20" s="24">
        <v>2.0</v>
      </c>
      <c r="AE20" s="24">
        <v>0.0</v>
      </c>
      <c r="AF20" s="24">
        <v>2.0</v>
      </c>
      <c r="AG20" s="33">
        <f t="shared" si="7"/>
        <v>8</v>
      </c>
      <c r="AH20" s="33" t="str">
        <f t="shared" si="8"/>
        <v>Low</v>
      </c>
      <c r="AI20" s="24" t="s">
        <v>210</v>
      </c>
      <c r="AJ20" s="25">
        <v>2.0</v>
      </c>
      <c r="AK20" s="25">
        <v>2.0</v>
      </c>
      <c r="AL20" s="25">
        <v>2.0</v>
      </c>
      <c r="AM20" s="25">
        <v>2.0</v>
      </c>
      <c r="AN20" s="25">
        <v>2.0</v>
      </c>
      <c r="AO20" s="34">
        <f t="shared" si="9"/>
        <v>10</v>
      </c>
      <c r="AP20" s="34" t="str">
        <f t="shared" si="10"/>
        <v>Low</v>
      </c>
      <c r="AQ20" s="25" t="s">
        <v>211</v>
      </c>
      <c r="AR20" s="26">
        <v>2.0</v>
      </c>
      <c r="AS20" s="26">
        <v>2.0</v>
      </c>
      <c r="AT20" s="26">
        <v>1.0</v>
      </c>
      <c r="AU20" s="26">
        <v>1.0</v>
      </c>
      <c r="AV20" s="26">
        <v>2.0</v>
      </c>
      <c r="AW20" s="35">
        <f t="shared" si="11"/>
        <v>8</v>
      </c>
      <c r="AX20" s="35" t="str">
        <f t="shared" si="12"/>
        <v>Low</v>
      </c>
      <c r="AY20" s="26" t="s">
        <v>212</v>
      </c>
      <c r="AZ20" s="27">
        <v>2.0</v>
      </c>
      <c r="BA20" s="27">
        <v>2.0</v>
      </c>
      <c r="BB20" s="27">
        <v>2.0</v>
      </c>
      <c r="BC20" s="27">
        <v>2.0</v>
      </c>
      <c r="BD20" s="27">
        <v>2.0</v>
      </c>
      <c r="BE20" s="36">
        <f t="shared" si="13"/>
        <v>10</v>
      </c>
      <c r="BF20" s="36" t="str">
        <f t="shared" si="14"/>
        <v>Low</v>
      </c>
      <c r="BG20" s="27" t="s">
        <v>213</v>
      </c>
      <c r="BH20" s="37">
        <f t="shared" si="15"/>
        <v>62</v>
      </c>
      <c r="BI20" s="37" t="str">
        <f t="shared" si="16"/>
        <v>Low</v>
      </c>
      <c r="BJ20" s="29" t="b">
        <v>0</v>
      </c>
    </row>
    <row r="21">
      <c r="A21" s="28">
        <v>19.0</v>
      </c>
      <c r="B21" s="29" t="s">
        <v>214</v>
      </c>
      <c r="C21" s="29">
        <v>2024.0</v>
      </c>
      <c r="D21" s="21">
        <v>2.0</v>
      </c>
      <c r="E21" s="21">
        <v>2.0</v>
      </c>
      <c r="F21" s="21">
        <v>1.0</v>
      </c>
      <c r="G21" s="21">
        <v>2.0</v>
      </c>
      <c r="H21" s="21">
        <v>1.0</v>
      </c>
      <c r="I21" s="30">
        <f t="shared" si="1"/>
        <v>8</v>
      </c>
      <c r="J21" s="30" t="str">
        <f t="shared" si="2"/>
        <v>Low</v>
      </c>
      <c r="K21" s="21" t="s">
        <v>215</v>
      </c>
      <c r="L21" s="22">
        <v>2.0</v>
      </c>
      <c r="M21" s="22">
        <v>2.0</v>
      </c>
      <c r="N21" s="22">
        <v>0.0</v>
      </c>
      <c r="O21" s="22">
        <v>2.0</v>
      </c>
      <c r="P21" s="22">
        <v>2.0</v>
      </c>
      <c r="Q21" s="31">
        <f t="shared" si="3"/>
        <v>8</v>
      </c>
      <c r="R21" s="31" t="str">
        <f t="shared" si="4"/>
        <v>Low</v>
      </c>
      <c r="S21" s="22" t="s">
        <v>216</v>
      </c>
      <c r="T21" s="23">
        <v>2.0</v>
      </c>
      <c r="U21" s="23">
        <v>2.0</v>
      </c>
      <c r="V21" s="23">
        <v>2.0</v>
      </c>
      <c r="W21" s="23">
        <v>2.0</v>
      </c>
      <c r="X21" s="23">
        <v>2.0</v>
      </c>
      <c r="Y21" s="32">
        <f t="shared" si="5"/>
        <v>10</v>
      </c>
      <c r="Z21" s="32" t="str">
        <f t="shared" si="6"/>
        <v>Low</v>
      </c>
      <c r="AA21" s="23" t="s">
        <v>217</v>
      </c>
      <c r="AB21" s="24">
        <v>2.0</v>
      </c>
      <c r="AC21" s="24">
        <v>2.0</v>
      </c>
      <c r="AD21" s="24">
        <v>2.0</v>
      </c>
      <c r="AE21" s="24">
        <v>0.0</v>
      </c>
      <c r="AF21" s="24">
        <v>2.0</v>
      </c>
      <c r="AG21" s="33">
        <f t="shared" si="7"/>
        <v>8</v>
      </c>
      <c r="AH21" s="33" t="str">
        <f t="shared" si="8"/>
        <v>Low</v>
      </c>
      <c r="AI21" s="24" t="s">
        <v>218</v>
      </c>
      <c r="AJ21" s="25">
        <v>2.0</v>
      </c>
      <c r="AK21" s="25">
        <v>1.0</v>
      </c>
      <c r="AL21" s="25">
        <v>2.0</v>
      </c>
      <c r="AM21" s="25">
        <v>2.0</v>
      </c>
      <c r="AN21" s="25">
        <v>2.0</v>
      </c>
      <c r="AO21" s="34">
        <f t="shared" si="9"/>
        <v>9</v>
      </c>
      <c r="AP21" s="34" t="str">
        <f t="shared" si="10"/>
        <v>Low</v>
      </c>
      <c r="AQ21" s="25" t="s">
        <v>219</v>
      </c>
      <c r="AR21" s="26">
        <v>1.0</v>
      </c>
      <c r="AS21" s="26">
        <v>1.0</v>
      </c>
      <c r="AT21" s="26">
        <v>0.0</v>
      </c>
      <c r="AU21" s="26">
        <v>0.0</v>
      </c>
      <c r="AV21" s="26">
        <v>0.0</v>
      </c>
      <c r="AW21" s="35">
        <f t="shared" si="11"/>
        <v>2</v>
      </c>
      <c r="AX21" s="35" t="str">
        <f t="shared" si="12"/>
        <v>Serious</v>
      </c>
      <c r="AY21" s="26" t="s">
        <v>220</v>
      </c>
      <c r="AZ21" s="27">
        <v>2.0</v>
      </c>
      <c r="BA21" s="27">
        <v>2.0</v>
      </c>
      <c r="BB21" s="27">
        <v>1.0</v>
      </c>
      <c r="BC21" s="27">
        <v>2.0</v>
      </c>
      <c r="BD21" s="27">
        <v>2.0</v>
      </c>
      <c r="BE21" s="36">
        <f t="shared" si="13"/>
        <v>9</v>
      </c>
      <c r="BF21" s="36" t="str">
        <f t="shared" si="14"/>
        <v>Low</v>
      </c>
      <c r="BG21" s="27" t="s">
        <v>221</v>
      </c>
      <c r="BH21" s="37">
        <f t="shared" si="15"/>
        <v>54</v>
      </c>
      <c r="BI21" s="37" t="str">
        <f t="shared" si="16"/>
        <v>Moderate</v>
      </c>
      <c r="BJ21" s="29" t="b">
        <v>0</v>
      </c>
    </row>
    <row r="22">
      <c r="A22" s="28">
        <v>20.0</v>
      </c>
      <c r="B22" s="29" t="s">
        <v>222</v>
      </c>
      <c r="C22" s="29">
        <v>2025.0</v>
      </c>
      <c r="D22" s="21">
        <v>2.0</v>
      </c>
      <c r="E22" s="21">
        <v>2.0</v>
      </c>
      <c r="F22" s="21">
        <v>1.0</v>
      </c>
      <c r="G22" s="21">
        <v>2.0</v>
      </c>
      <c r="H22" s="21">
        <v>1.0</v>
      </c>
      <c r="I22" s="30">
        <f t="shared" si="1"/>
        <v>8</v>
      </c>
      <c r="J22" s="30" t="str">
        <f t="shared" si="2"/>
        <v>Low</v>
      </c>
      <c r="K22" s="21" t="s">
        <v>223</v>
      </c>
      <c r="L22" s="22">
        <v>2.0</v>
      </c>
      <c r="M22" s="22">
        <v>2.0</v>
      </c>
      <c r="N22" s="22">
        <v>2.0</v>
      </c>
      <c r="O22" s="22">
        <v>2.0</v>
      </c>
      <c r="P22" s="22">
        <v>2.0</v>
      </c>
      <c r="Q22" s="31">
        <f t="shared" si="3"/>
        <v>10</v>
      </c>
      <c r="R22" s="31" t="str">
        <f t="shared" si="4"/>
        <v>Low</v>
      </c>
      <c r="S22" s="22" t="s">
        <v>224</v>
      </c>
      <c r="T22" s="23">
        <v>2.0</v>
      </c>
      <c r="U22" s="23">
        <v>2.0</v>
      </c>
      <c r="V22" s="23">
        <v>2.0</v>
      </c>
      <c r="W22" s="23">
        <v>2.0</v>
      </c>
      <c r="X22" s="23">
        <v>2.0</v>
      </c>
      <c r="Y22" s="32">
        <f t="shared" si="5"/>
        <v>10</v>
      </c>
      <c r="Z22" s="32" t="str">
        <f t="shared" si="6"/>
        <v>Low</v>
      </c>
      <c r="AA22" s="23" t="s">
        <v>225</v>
      </c>
      <c r="AB22" s="24">
        <v>2.0</v>
      </c>
      <c r="AC22" s="24">
        <v>2.0</v>
      </c>
      <c r="AD22" s="24">
        <v>2.0</v>
      </c>
      <c r="AE22" s="24">
        <v>0.0</v>
      </c>
      <c r="AF22" s="24">
        <v>2.0</v>
      </c>
      <c r="AG22" s="33">
        <f t="shared" si="7"/>
        <v>8</v>
      </c>
      <c r="AH22" s="33" t="str">
        <f t="shared" si="8"/>
        <v>Low</v>
      </c>
      <c r="AI22" s="24" t="s">
        <v>226</v>
      </c>
      <c r="AJ22" s="25">
        <v>2.0</v>
      </c>
      <c r="AK22" s="25">
        <v>2.0</v>
      </c>
      <c r="AL22" s="25">
        <v>2.0</v>
      </c>
      <c r="AM22" s="25">
        <v>2.0</v>
      </c>
      <c r="AN22" s="25">
        <v>2.0</v>
      </c>
      <c r="AO22" s="34">
        <f t="shared" si="9"/>
        <v>10</v>
      </c>
      <c r="AP22" s="34" t="str">
        <f t="shared" si="10"/>
        <v>Low</v>
      </c>
      <c r="AQ22" s="25" t="s">
        <v>227</v>
      </c>
      <c r="AR22" s="26">
        <v>1.0</v>
      </c>
      <c r="AS22" s="26">
        <v>2.0</v>
      </c>
      <c r="AT22" s="26">
        <v>2.0</v>
      </c>
      <c r="AU22" s="26">
        <v>1.0</v>
      </c>
      <c r="AV22" s="26">
        <v>2.0</v>
      </c>
      <c r="AW22" s="35">
        <f t="shared" si="11"/>
        <v>8</v>
      </c>
      <c r="AX22" s="35" t="str">
        <f t="shared" si="12"/>
        <v>Low</v>
      </c>
      <c r="AY22" s="26" t="s">
        <v>228</v>
      </c>
      <c r="AZ22" s="27">
        <v>2.0</v>
      </c>
      <c r="BA22" s="27">
        <v>2.0</v>
      </c>
      <c r="BB22" s="27">
        <v>2.0</v>
      </c>
      <c r="BC22" s="27">
        <v>2.0</v>
      </c>
      <c r="BD22" s="27">
        <v>2.0</v>
      </c>
      <c r="BE22" s="36">
        <f t="shared" si="13"/>
        <v>10</v>
      </c>
      <c r="BF22" s="36" t="str">
        <f t="shared" si="14"/>
        <v>Low</v>
      </c>
      <c r="BG22" s="27" t="s">
        <v>229</v>
      </c>
      <c r="BH22" s="37">
        <f t="shared" si="15"/>
        <v>64</v>
      </c>
      <c r="BI22" s="37" t="str">
        <f t="shared" si="16"/>
        <v>Low</v>
      </c>
      <c r="BJ22" s="29" t="b">
        <v>0</v>
      </c>
    </row>
    <row r="23">
      <c r="A23" s="28">
        <v>21.0</v>
      </c>
      <c r="B23" s="29" t="s">
        <v>230</v>
      </c>
      <c r="C23" s="29">
        <v>2018.0</v>
      </c>
      <c r="D23" s="21">
        <v>2.0</v>
      </c>
      <c r="E23" s="21">
        <v>1.0</v>
      </c>
      <c r="F23" s="21">
        <v>1.0</v>
      </c>
      <c r="G23" s="21">
        <v>2.0</v>
      </c>
      <c r="H23" s="21">
        <v>2.0</v>
      </c>
      <c r="I23" s="30">
        <f t="shared" si="1"/>
        <v>8</v>
      </c>
      <c r="J23" s="30" t="str">
        <f t="shared" si="2"/>
        <v>Low</v>
      </c>
      <c r="K23" s="21" t="s">
        <v>231</v>
      </c>
      <c r="L23" s="22">
        <v>2.0</v>
      </c>
      <c r="M23" s="22">
        <v>2.0</v>
      </c>
      <c r="N23" s="22">
        <v>1.0</v>
      </c>
      <c r="O23" s="22">
        <v>2.0</v>
      </c>
      <c r="P23" s="22">
        <v>2.0</v>
      </c>
      <c r="Q23" s="31">
        <f t="shared" si="3"/>
        <v>9</v>
      </c>
      <c r="R23" s="31" t="str">
        <f t="shared" si="4"/>
        <v>Low</v>
      </c>
      <c r="S23" s="22" t="s">
        <v>232</v>
      </c>
      <c r="T23" s="23">
        <v>2.0</v>
      </c>
      <c r="U23" s="23">
        <v>0.0</v>
      </c>
      <c r="V23" s="23">
        <v>2.0</v>
      </c>
      <c r="W23" s="23">
        <v>2.0</v>
      </c>
      <c r="X23" s="23">
        <v>1.0</v>
      </c>
      <c r="Y23" s="32">
        <f t="shared" si="5"/>
        <v>7</v>
      </c>
      <c r="Z23" s="32" t="str">
        <f t="shared" si="6"/>
        <v>Moderate</v>
      </c>
      <c r="AA23" s="23" t="s">
        <v>233</v>
      </c>
      <c r="AB23" s="24">
        <v>2.0</v>
      </c>
      <c r="AC23" s="24">
        <v>0.0</v>
      </c>
      <c r="AD23" s="24">
        <v>0.0</v>
      </c>
      <c r="AE23" s="24">
        <v>0.0</v>
      </c>
      <c r="AF23" s="24">
        <v>2.0</v>
      </c>
      <c r="AG23" s="33">
        <f t="shared" si="7"/>
        <v>4</v>
      </c>
      <c r="AH23" s="33" t="str">
        <f t="shared" si="8"/>
        <v>Moderate</v>
      </c>
      <c r="AI23" s="24" t="s">
        <v>234</v>
      </c>
      <c r="AJ23" s="25">
        <v>1.0</v>
      </c>
      <c r="AK23" s="25">
        <v>2.0</v>
      </c>
      <c r="AL23" s="25">
        <v>2.0</v>
      </c>
      <c r="AM23" s="25">
        <v>2.0</v>
      </c>
      <c r="AN23" s="25">
        <v>2.0</v>
      </c>
      <c r="AO23" s="34">
        <f t="shared" si="9"/>
        <v>9</v>
      </c>
      <c r="AP23" s="34" t="str">
        <f t="shared" si="10"/>
        <v>Low</v>
      </c>
      <c r="AQ23" s="25" t="s">
        <v>235</v>
      </c>
      <c r="AR23" s="26">
        <v>1.0</v>
      </c>
      <c r="AS23" s="26">
        <v>1.0</v>
      </c>
      <c r="AT23" s="26">
        <v>-1.0</v>
      </c>
      <c r="AU23" s="26">
        <v>2.0</v>
      </c>
      <c r="AV23" s="26">
        <v>2.0</v>
      </c>
      <c r="AW23" s="35">
        <f t="shared" si="11"/>
        <v>5</v>
      </c>
      <c r="AX23" s="35" t="str">
        <f t="shared" si="12"/>
        <v>Moderate</v>
      </c>
      <c r="AY23" s="26" t="s">
        <v>236</v>
      </c>
      <c r="AZ23" s="27">
        <v>2.0</v>
      </c>
      <c r="BA23" s="27">
        <v>2.0</v>
      </c>
      <c r="BB23" s="27">
        <v>2.0</v>
      </c>
      <c r="BC23" s="27">
        <v>0.0</v>
      </c>
      <c r="BD23" s="27">
        <v>2.0</v>
      </c>
      <c r="BE23" s="36">
        <f t="shared" si="13"/>
        <v>8</v>
      </c>
      <c r="BF23" s="36" t="str">
        <f t="shared" si="14"/>
        <v>Low</v>
      </c>
      <c r="BG23" s="27" t="s">
        <v>237</v>
      </c>
      <c r="BH23" s="37">
        <f t="shared" si="15"/>
        <v>50</v>
      </c>
      <c r="BI23" s="37" t="str">
        <f t="shared" si="16"/>
        <v>Moderate</v>
      </c>
      <c r="BJ23" s="29" t="b">
        <v>0</v>
      </c>
    </row>
    <row r="24">
      <c r="A24" s="28">
        <v>22.0</v>
      </c>
      <c r="B24" s="29" t="s">
        <v>238</v>
      </c>
      <c r="C24" s="38"/>
      <c r="D24" s="21">
        <v>2.0</v>
      </c>
      <c r="E24" s="21">
        <v>2.0</v>
      </c>
      <c r="F24" s="21">
        <v>1.0</v>
      </c>
      <c r="G24" s="21">
        <v>2.0</v>
      </c>
      <c r="H24" s="21">
        <v>1.0</v>
      </c>
      <c r="I24" s="30">
        <f t="shared" si="1"/>
        <v>8</v>
      </c>
      <c r="J24" s="30" t="str">
        <f t="shared" si="2"/>
        <v>Low</v>
      </c>
      <c r="K24" s="21" t="s">
        <v>239</v>
      </c>
      <c r="L24" s="22">
        <v>2.0</v>
      </c>
      <c r="M24" s="22">
        <v>1.0</v>
      </c>
      <c r="N24" s="22">
        <v>2.0</v>
      </c>
      <c r="O24" s="22">
        <v>2.0</v>
      </c>
      <c r="P24" s="22">
        <v>2.0</v>
      </c>
      <c r="Q24" s="31">
        <f t="shared" si="3"/>
        <v>9</v>
      </c>
      <c r="R24" s="31" t="str">
        <f t="shared" si="4"/>
        <v>Low</v>
      </c>
      <c r="S24" s="22" t="s">
        <v>240</v>
      </c>
      <c r="T24" s="23">
        <v>2.0</v>
      </c>
      <c r="U24" s="23">
        <v>0.0</v>
      </c>
      <c r="V24" s="23">
        <v>2.0</v>
      </c>
      <c r="W24" s="23">
        <v>2.0</v>
      </c>
      <c r="X24" s="23">
        <v>1.0</v>
      </c>
      <c r="Y24" s="32">
        <f t="shared" si="5"/>
        <v>7</v>
      </c>
      <c r="Z24" s="32" t="str">
        <f t="shared" si="6"/>
        <v>Moderate</v>
      </c>
      <c r="AA24" s="23" t="s">
        <v>241</v>
      </c>
      <c r="AB24" s="24">
        <v>2.0</v>
      </c>
      <c r="AC24" s="24">
        <v>2.0</v>
      </c>
      <c r="AD24" s="24">
        <v>0.0</v>
      </c>
      <c r="AE24" s="24">
        <v>0.0</v>
      </c>
      <c r="AF24" s="24">
        <v>2.0</v>
      </c>
      <c r="AG24" s="33">
        <f t="shared" si="7"/>
        <v>6</v>
      </c>
      <c r="AH24" s="33" t="str">
        <f t="shared" si="8"/>
        <v>Moderate</v>
      </c>
      <c r="AI24" s="24" t="s">
        <v>242</v>
      </c>
      <c r="AJ24" s="25">
        <v>2.0</v>
      </c>
      <c r="AK24" s="25">
        <v>2.0</v>
      </c>
      <c r="AL24" s="25">
        <v>2.0</v>
      </c>
      <c r="AM24" s="25">
        <v>2.0</v>
      </c>
      <c r="AN24" s="25">
        <v>1.0</v>
      </c>
      <c r="AO24" s="34">
        <f t="shared" si="9"/>
        <v>9</v>
      </c>
      <c r="AP24" s="34" t="str">
        <f t="shared" si="10"/>
        <v>Low</v>
      </c>
      <c r="AQ24" s="25" t="s">
        <v>243</v>
      </c>
      <c r="AR24" s="26">
        <v>1.0</v>
      </c>
      <c r="AS24" s="26">
        <v>0.0</v>
      </c>
      <c r="AT24" s="26">
        <v>0.0</v>
      </c>
      <c r="AU24" s="26">
        <v>0.0</v>
      </c>
      <c r="AV24" s="26">
        <v>0.0</v>
      </c>
      <c r="AW24" s="35">
        <f t="shared" si="11"/>
        <v>1</v>
      </c>
      <c r="AX24" s="35" t="str">
        <f t="shared" si="12"/>
        <v>Serious</v>
      </c>
      <c r="AY24" s="26" t="s">
        <v>244</v>
      </c>
      <c r="AZ24" s="27">
        <v>2.0</v>
      </c>
      <c r="BA24" s="27">
        <v>2.0</v>
      </c>
      <c r="BB24" s="27">
        <v>2.0</v>
      </c>
      <c r="BC24" s="27">
        <v>0.0</v>
      </c>
      <c r="BD24" s="27">
        <v>2.0</v>
      </c>
      <c r="BE24" s="36">
        <f t="shared" si="13"/>
        <v>8</v>
      </c>
      <c r="BF24" s="36" t="str">
        <f t="shared" si="14"/>
        <v>Low</v>
      </c>
      <c r="BG24" s="27" t="s">
        <v>245</v>
      </c>
      <c r="BH24" s="37">
        <f t="shared" si="15"/>
        <v>48</v>
      </c>
      <c r="BI24" s="37" t="str">
        <f t="shared" si="16"/>
        <v>Moderate</v>
      </c>
      <c r="BJ24" s="29" t="b">
        <v>0</v>
      </c>
    </row>
    <row r="25">
      <c r="A25" s="28">
        <v>23.0</v>
      </c>
      <c r="B25" s="29" t="s">
        <v>246</v>
      </c>
      <c r="C25" s="29">
        <v>2024.0</v>
      </c>
      <c r="D25" s="21">
        <v>2.0</v>
      </c>
      <c r="E25" s="21">
        <v>2.0</v>
      </c>
      <c r="F25" s="21">
        <v>1.0</v>
      </c>
      <c r="G25" s="21">
        <v>2.0</v>
      </c>
      <c r="H25" s="21">
        <v>1.0</v>
      </c>
      <c r="I25" s="30">
        <f t="shared" si="1"/>
        <v>8</v>
      </c>
      <c r="J25" s="30" t="str">
        <f t="shared" si="2"/>
        <v>Low</v>
      </c>
      <c r="K25" s="21" t="s">
        <v>247</v>
      </c>
      <c r="L25" s="22">
        <v>2.0</v>
      </c>
      <c r="M25" s="22">
        <v>2.0</v>
      </c>
      <c r="N25" s="22">
        <v>0.0</v>
      </c>
      <c r="O25" s="22">
        <v>2.0</v>
      </c>
      <c r="P25" s="22">
        <v>2.0</v>
      </c>
      <c r="Q25" s="31">
        <f t="shared" si="3"/>
        <v>8</v>
      </c>
      <c r="R25" s="31" t="str">
        <f t="shared" si="4"/>
        <v>Low</v>
      </c>
      <c r="S25" s="22" t="s">
        <v>248</v>
      </c>
      <c r="T25" s="23">
        <v>2.0</v>
      </c>
      <c r="U25" s="23">
        <v>2.0</v>
      </c>
      <c r="V25" s="23">
        <v>2.0</v>
      </c>
      <c r="W25" s="23">
        <v>2.0</v>
      </c>
      <c r="X25" s="23">
        <v>2.0</v>
      </c>
      <c r="Y25" s="32">
        <f t="shared" si="5"/>
        <v>10</v>
      </c>
      <c r="Z25" s="32" t="str">
        <f t="shared" si="6"/>
        <v>Low</v>
      </c>
      <c r="AA25" s="23" t="s">
        <v>249</v>
      </c>
      <c r="AB25" s="24">
        <v>2.0</v>
      </c>
      <c r="AC25" s="24">
        <v>2.0</v>
      </c>
      <c r="AD25" s="24">
        <v>0.0</v>
      </c>
      <c r="AE25" s="24">
        <v>0.0</v>
      </c>
      <c r="AF25" s="24">
        <v>2.0</v>
      </c>
      <c r="AG25" s="33">
        <f t="shared" si="7"/>
        <v>6</v>
      </c>
      <c r="AH25" s="33" t="str">
        <f t="shared" si="8"/>
        <v>Moderate</v>
      </c>
      <c r="AI25" s="24" t="s">
        <v>250</v>
      </c>
      <c r="AJ25" s="25">
        <v>2.0</v>
      </c>
      <c r="AK25" s="25">
        <v>2.0</v>
      </c>
      <c r="AL25" s="25">
        <v>2.0</v>
      </c>
      <c r="AM25" s="25">
        <v>2.0</v>
      </c>
      <c r="AN25" s="25">
        <v>2.0</v>
      </c>
      <c r="AO25" s="34">
        <f t="shared" si="9"/>
        <v>10</v>
      </c>
      <c r="AP25" s="34" t="str">
        <f t="shared" si="10"/>
        <v>Low</v>
      </c>
      <c r="AQ25" s="25" t="s">
        <v>251</v>
      </c>
      <c r="AR25" s="26">
        <v>1.0</v>
      </c>
      <c r="AS25" s="26">
        <v>2.0</v>
      </c>
      <c r="AT25" s="26">
        <v>2.0</v>
      </c>
      <c r="AU25" s="26">
        <v>0.0</v>
      </c>
      <c r="AV25" s="26">
        <v>1.0</v>
      </c>
      <c r="AW25" s="35">
        <f t="shared" si="11"/>
        <v>6</v>
      </c>
      <c r="AX25" s="35" t="str">
        <f t="shared" si="12"/>
        <v>Moderate</v>
      </c>
      <c r="AY25" s="26" t="s">
        <v>252</v>
      </c>
      <c r="AZ25" s="27">
        <v>2.0</v>
      </c>
      <c r="BA25" s="27">
        <v>2.0</v>
      </c>
      <c r="BB25" s="27">
        <v>2.0</v>
      </c>
      <c r="BC25" s="27">
        <v>2.0</v>
      </c>
      <c r="BD25" s="27">
        <v>2.0</v>
      </c>
      <c r="BE25" s="36">
        <f t="shared" si="13"/>
        <v>10</v>
      </c>
      <c r="BF25" s="36" t="str">
        <f t="shared" si="14"/>
        <v>Low</v>
      </c>
      <c r="BG25" s="27" t="s">
        <v>253</v>
      </c>
      <c r="BH25" s="37">
        <f t="shared" si="15"/>
        <v>58</v>
      </c>
      <c r="BI25" s="37" t="str">
        <f t="shared" si="16"/>
        <v>Low</v>
      </c>
      <c r="BJ25" s="29" t="b">
        <v>0</v>
      </c>
    </row>
    <row r="26">
      <c r="A26" s="28">
        <v>24.0</v>
      </c>
      <c r="B26" s="29" t="s">
        <v>254</v>
      </c>
      <c r="C26" s="38"/>
      <c r="D26" s="21">
        <v>2.0</v>
      </c>
      <c r="E26" s="21">
        <v>2.0</v>
      </c>
      <c r="F26" s="21">
        <v>2.0</v>
      </c>
      <c r="G26" s="21">
        <v>2.0</v>
      </c>
      <c r="H26" s="21">
        <v>1.0</v>
      </c>
      <c r="I26" s="30">
        <f t="shared" si="1"/>
        <v>9</v>
      </c>
      <c r="J26" s="30" t="str">
        <f t="shared" si="2"/>
        <v>Low</v>
      </c>
      <c r="K26" s="21" t="s">
        <v>255</v>
      </c>
      <c r="L26" s="22">
        <v>1.0</v>
      </c>
      <c r="M26" s="22">
        <v>2.0</v>
      </c>
      <c r="N26" s="22">
        <v>0.0</v>
      </c>
      <c r="O26" s="22">
        <v>2.0</v>
      </c>
      <c r="P26" s="22">
        <v>2.0</v>
      </c>
      <c r="Q26" s="31">
        <f t="shared" si="3"/>
        <v>7</v>
      </c>
      <c r="R26" s="31" t="str">
        <f t="shared" si="4"/>
        <v>Moderate</v>
      </c>
      <c r="S26" s="22" t="s">
        <v>256</v>
      </c>
      <c r="T26" s="23">
        <v>2.0</v>
      </c>
      <c r="U26" s="23">
        <v>0.0</v>
      </c>
      <c r="V26" s="23">
        <v>2.0</v>
      </c>
      <c r="W26" s="23">
        <v>2.0</v>
      </c>
      <c r="X26" s="23">
        <v>2.0</v>
      </c>
      <c r="Y26" s="32">
        <f t="shared" si="5"/>
        <v>8</v>
      </c>
      <c r="Z26" s="32" t="str">
        <f t="shared" si="6"/>
        <v>Low</v>
      </c>
      <c r="AA26" s="23" t="s">
        <v>257</v>
      </c>
      <c r="AB26" s="24">
        <v>2.0</v>
      </c>
      <c r="AC26" s="24">
        <v>2.0</v>
      </c>
      <c r="AD26" s="24">
        <v>2.0</v>
      </c>
      <c r="AE26" s="24">
        <v>2.0</v>
      </c>
      <c r="AF26" s="24">
        <v>2.0</v>
      </c>
      <c r="AG26" s="33">
        <f t="shared" si="7"/>
        <v>10</v>
      </c>
      <c r="AH26" s="33" t="str">
        <f t="shared" si="8"/>
        <v>Low</v>
      </c>
      <c r="AI26" s="24" t="s">
        <v>258</v>
      </c>
      <c r="AJ26" s="25">
        <v>2.0</v>
      </c>
      <c r="AK26" s="25">
        <v>2.0</v>
      </c>
      <c r="AL26" s="25">
        <v>2.0</v>
      </c>
      <c r="AM26" s="25">
        <v>2.0</v>
      </c>
      <c r="AN26" s="25">
        <v>2.0</v>
      </c>
      <c r="AO26" s="34">
        <f t="shared" si="9"/>
        <v>10</v>
      </c>
      <c r="AP26" s="34" t="str">
        <f t="shared" si="10"/>
        <v>Low</v>
      </c>
      <c r="AQ26" s="25" t="s">
        <v>259</v>
      </c>
      <c r="AR26" s="26">
        <v>1.0</v>
      </c>
      <c r="AS26" s="26">
        <v>0.0</v>
      </c>
      <c r="AT26" s="26">
        <v>-2.0</v>
      </c>
      <c r="AU26" s="26">
        <v>2.0</v>
      </c>
      <c r="AV26" s="26">
        <v>0.0</v>
      </c>
      <c r="AW26" s="35">
        <f t="shared" si="11"/>
        <v>1</v>
      </c>
      <c r="AX26" s="35" t="str">
        <f t="shared" si="12"/>
        <v>Serious</v>
      </c>
      <c r="AY26" s="26" t="s">
        <v>260</v>
      </c>
      <c r="AZ26" s="27">
        <v>2.0</v>
      </c>
      <c r="BA26" s="27">
        <v>2.0</v>
      </c>
      <c r="BB26" s="27">
        <v>2.0</v>
      </c>
      <c r="BC26" s="27">
        <v>0.0</v>
      </c>
      <c r="BD26" s="27">
        <v>2.0</v>
      </c>
      <c r="BE26" s="36">
        <f t="shared" si="13"/>
        <v>8</v>
      </c>
      <c r="BF26" s="36" t="str">
        <f t="shared" si="14"/>
        <v>Low</v>
      </c>
      <c r="BG26" s="27" t="s">
        <v>261</v>
      </c>
      <c r="BH26" s="37">
        <f t="shared" si="15"/>
        <v>53</v>
      </c>
      <c r="BI26" s="37" t="str">
        <f t="shared" si="16"/>
        <v>Moderate</v>
      </c>
      <c r="BJ26" s="29" t="b">
        <v>0</v>
      </c>
    </row>
    <row r="27">
      <c r="A27" s="28">
        <v>25.0</v>
      </c>
      <c r="B27" s="29" t="s">
        <v>262</v>
      </c>
      <c r="C27" s="29">
        <v>2022.0</v>
      </c>
      <c r="D27" s="21">
        <v>2.0</v>
      </c>
      <c r="E27" s="21">
        <v>2.0</v>
      </c>
      <c r="F27" s="21">
        <v>1.0</v>
      </c>
      <c r="G27" s="21">
        <v>2.0</v>
      </c>
      <c r="H27" s="21">
        <v>2.0</v>
      </c>
      <c r="I27" s="30">
        <f t="shared" si="1"/>
        <v>9</v>
      </c>
      <c r="J27" s="30" t="str">
        <f t="shared" si="2"/>
        <v>Low</v>
      </c>
      <c r="K27" s="21" t="s">
        <v>263</v>
      </c>
      <c r="L27" s="22">
        <v>2.0</v>
      </c>
      <c r="M27" s="22">
        <v>2.0</v>
      </c>
      <c r="N27" s="22">
        <v>0.0</v>
      </c>
      <c r="O27" s="22">
        <v>2.0</v>
      </c>
      <c r="P27" s="22">
        <v>2.0</v>
      </c>
      <c r="Q27" s="31">
        <f t="shared" si="3"/>
        <v>8</v>
      </c>
      <c r="R27" s="31" t="str">
        <f t="shared" si="4"/>
        <v>Low</v>
      </c>
      <c r="S27" s="22" t="s">
        <v>264</v>
      </c>
      <c r="T27" s="23">
        <v>2.0</v>
      </c>
      <c r="U27" s="23">
        <v>2.0</v>
      </c>
      <c r="V27" s="23">
        <v>2.0</v>
      </c>
      <c r="W27" s="23">
        <v>2.0</v>
      </c>
      <c r="X27" s="23">
        <v>2.0</v>
      </c>
      <c r="Y27" s="32">
        <f t="shared" si="5"/>
        <v>10</v>
      </c>
      <c r="Z27" s="32" t="str">
        <f t="shared" si="6"/>
        <v>Low</v>
      </c>
      <c r="AA27" s="23" t="s">
        <v>265</v>
      </c>
      <c r="AB27" s="24">
        <v>2.0</v>
      </c>
      <c r="AC27" s="24">
        <v>2.0</v>
      </c>
      <c r="AD27" s="24">
        <v>2.0</v>
      </c>
      <c r="AE27" s="24">
        <v>0.0</v>
      </c>
      <c r="AF27" s="24">
        <v>2.0</v>
      </c>
      <c r="AG27" s="33">
        <f t="shared" si="7"/>
        <v>8</v>
      </c>
      <c r="AH27" s="33" t="str">
        <f t="shared" si="8"/>
        <v>Low</v>
      </c>
      <c r="AI27" s="24" t="s">
        <v>266</v>
      </c>
      <c r="AJ27" s="25">
        <v>2.0</v>
      </c>
      <c r="AK27" s="25">
        <v>2.0</v>
      </c>
      <c r="AL27" s="25">
        <v>2.0</v>
      </c>
      <c r="AM27" s="25">
        <v>2.0</v>
      </c>
      <c r="AN27" s="25">
        <v>2.0</v>
      </c>
      <c r="AO27" s="34">
        <f t="shared" si="9"/>
        <v>10</v>
      </c>
      <c r="AP27" s="34" t="str">
        <f t="shared" si="10"/>
        <v>Low</v>
      </c>
      <c r="AQ27" s="25" t="s">
        <v>267</v>
      </c>
      <c r="AR27" s="26">
        <v>1.0</v>
      </c>
      <c r="AS27" s="26">
        <v>0.0</v>
      </c>
      <c r="AT27" s="26">
        <v>-1.0</v>
      </c>
      <c r="AU27" s="26">
        <v>0.0</v>
      </c>
      <c r="AV27" s="26">
        <v>0.0</v>
      </c>
      <c r="AW27" s="35">
        <f t="shared" si="11"/>
        <v>0</v>
      </c>
      <c r="AX27" s="35" t="str">
        <f t="shared" si="12"/>
        <v>Serious</v>
      </c>
      <c r="AY27" s="26" t="s">
        <v>268</v>
      </c>
      <c r="AZ27" s="27">
        <v>2.0</v>
      </c>
      <c r="BA27" s="27">
        <v>2.0</v>
      </c>
      <c r="BB27" s="27">
        <v>2.0</v>
      </c>
      <c r="BC27" s="27">
        <v>2.0</v>
      </c>
      <c r="BD27" s="27">
        <v>2.0</v>
      </c>
      <c r="BE27" s="36">
        <f t="shared" si="13"/>
        <v>10</v>
      </c>
      <c r="BF27" s="36" t="str">
        <f t="shared" si="14"/>
        <v>Low</v>
      </c>
      <c r="BG27" s="27" t="s">
        <v>269</v>
      </c>
      <c r="BH27" s="37">
        <f t="shared" si="15"/>
        <v>55</v>
      </c>
      <c r="BI27" s="37" t="str">
        <f t="shared" si="16"/>
        <v>Moderate</v>
      </c>
      <c r="BJ27" s="29" t="b">
        <v>0</v>
      </c>
    </row>
    <row r="28">
      <c r="A28" s="28">
        <v>26.0</v>
      </c>
      <c r="B28" s="29" t="s">
        <v>270</v>
      </c>
      <c r="C28" s="29">
        <v>2023.0</v>
      </c>
      <c r="D28" s="21">
        <v>2.0</v>
      </c>
      <c r="E28" s="21">
        <v>2.0</v>
      </c>
      <c r="F28" s="21">
        <v>1.0</v>
      </c>
      <c r="G28" s="21">
        <v>2.0</v>
      </c>
      <c r="H28" s="21">
        <v>2.0</v>
      </c>
      <c r="I28" s="30">
        <f t="shared" si="1"/>
        <v>9</v>
      </c>
      <c r="J28" s="30" t="str">
        <f t="shared" si="2"/>
        <v>Low</v>
      </c>
      <c r="K28" s="21" t="s">
        <v>271</v>
      </c>
      <c r="L28" s="22">
        <v>2.0</v>
      </c>
      <c r="M28" s="22">
        <v>2.0</v>
      </c>
      <c r="N28" s="22">
        <v>0.0</v>
      </c>
      <c r="O28" s="22">
        <v>2.0</v>
      </c>
      <c r="P28" s="22">
        <v>2.0</v>
      </c>
      <c r="Q28" s="31">
        <f t="shared" si="3"/>
        <v>8</v>
      </c>
      <c r="R28" s="31" t="str">
        <f t="shared" si="4"/>
        <v>Low</v>
      </c>
      <c r="S28" s="22" t="s">
        <v>272</v>
      </c>
      <c r="T28" s="23">
        <v>2.0</v>
      </c>
      <c r="U28" s="23">
        <v>2.0</v>
      </c>
      <c r="V28" s="23">
        <v>2.0</v>
      </c>
      <c r="W28" s="23">
        <v>2.0</v>
      </c>
      <c r="X28" s="23">
        <v>2.0</v>
      </c>
      <c r="Y28" s="32">
        <f t="shared" si="5"/>
        <v>10</v>
      </c>
      <c r="Z28" s="32" t="str">
        <f t="shared" si="6"/>
        <v>Low</v>
      </c>
      <c r="AA28" s="23" t="s">
        <v>273</v>
      </c>
      <c r="AB28" s="24">
        <v>2.0</v>
      </c>
      <c r="AC28" s="24">
        <v>2.0</v>
      </c>
      <c r="AD28" s="24">
        <v>0.0</v>
      </c>
      <c r="AE28" s="24">
        <v>2.0</v>
      </c>
      <c r="AF28" s="24">
        <v>2.0</v>
      </c>
      <c r="AG28" s="33">
        <f t="shared" si="7"/>
        <v>8</v>
      </c>
      <c r="AH28" s="33" t="str">
        <f t="shared" si="8"/>
        <v>Low</v>
      </c>
      <c r="AI28" s="24" t="s">
        <v>274</v>
      </c>
      <c r="AJ28" s="25">
        <v>2.0</v>
      </c>
      <c r="AK28" s="25">
        <v>2.0</v>
      </c>
      <c r="AL28" s="25">
        <v>2.0</v>
      </c>
      <c r="AM28" s="25">
        <v>2.0</v>
      </c>
      <c r="AN28" s="25">
        <v>2.0</v>
      </c>
      <c r="AO28" s="34">
        <f t="shared" si="9"/>
        <v>10</v>
      </c>
      <c r="AP28" s="34" t="str">
        <f t="shared" si="10"/>
        <v>Low</v>
      </c>
      <c r="AQ28" s="25" t="s">
        <v>275</v>
      </c>
      <c r="AR28" s="26">
        <v>1.0</v>
      </c>
      <c r="AS28" s="26">
        <v>0.0</v>
      </c>
      <c r="AT28" s="26">
        <v>-1.0</v>
      </c>
      <c r="AU28" s="26">
        <v>0.0</v>
      </c>
      <c r="AV28" s="26">
        <v>0.0</v>
      </c>
      <c r="AW28" s="35">
        <f t="shared" si="11"/>
        <v>0</v>
      </c>
      <c r="AX28" s="35" t="str">
        <f t="shared" si="12"/>
        <v>Serious</v>
      </c>
      <c r="AY28" s="26" t="s">
        <v>276</v>
      </c>
      <c r="AZ28" s="27">
        <v>2.0</v>
      </c>
      <c r="BA28" s="27">
        <v>2.0</v>
      </c>
      <c r="BB28" s="27">
        <v>2.0</v>
      </c>
      <c r="BC28" s="27">
        <v>2.0</v>
      </c>
      <c r="BD28" s="27">
        <v>2.0</v>
      </c>
      <c r="BE28" s="36">
        <f t="shared" si="13"/>
        <v>10</v>
      </c>
      <c r="BF28" s="36" t="str">
        <f t="shared" si="14"/>
        <v>Low</v>
      </c>
      <c r="BG28" s="27" t="s">
        <v>277</v>
      </c>
      <c r="BH28" s="37">
        <f t="shared" si="15"/>
        <v>55</v>
      </c>
      <c r="BI28" s="37" t="str">
        <f t="shared" si="16"/>
        <v>Moderate</v>
      </c>
      <c r="BJ28" s="29" t="b">
        <v>0</v>
      </c>
    </row>
    <row r="29">
      <c r="A29" s="28">
        <v>27.0</v>
      </c>
      <c r="B29" s="29" t="s">
        <v>278</v>
      </c>
      <c r="C29" s="29">
        <v>2023.0</v>
      </c>
      <c r="D29" s="21">
        <v>2.0</v>
      </c>
      <c r="E29" s="21">
        <v>2.0</v>
      </c>
      <c r="F29" s="21">
        <v>2.0</v>
      </c>
      <c r="G29" s="21">
        <v>2.0</v>
      </c>
      <c r="H29" s="21">
        <v>2.0</v>
      </c>
      <c r="I29" s="30">
        <f t="shared" si="1"/>
        <v>10</v>
      </c>
      <c r="J29" s="30" t="str">
        <f t="shared" si="2"/>
        <v>Low</v>
      </c>
      <c r="K29" s="21" t="s">
        <v>279</v>
      </c>
      <c r="L29" s="22">
        <v>2.0</v>
      </c>
      <c r="M29" s="22">
        <v>2.0</v>
      </c>
      <c r="N29" s="22">
        <v>0.0</v>
      </c>
      <c r="O29" s="22">
        <v>2.0</v>
      </c>
      <c r="P29" s="22">
        <v>2.0</v>
      </c>
      <c r="Q29" s="31">
        <f t="shared" si="3"/>
        <v>8</v>
      </c>
      <c r="R29" s="31" t="str">
        <f t="shared" si="4"/>
        <v>Low</v>
      </c>
      <c r="S29" s="22" t="s">
        <v>280</v>
      </c>
      <c r="T29" s="23">
        <v>2.0</v>
      </c>
      <c r="U29" s="23">
        <v>2.0</v>
      </c>
      <c r="V29" s="23">
        <v>2.0</v>
      </c>
      <c r="W29" s="23">
        <v>2.0</v>
      </c>
      <c r="X29" s="23">
        <v>2.0</v>
      </c>
      <c r="Y29" s="32">
        <f t="shared" si="5"/>
        <v>10</v>
      </c>
      <c r="Z29" s="32" t="str">
        <f t="shared" si="6"/>
        <v>Low</v>
      </c>
      <c r="AA29" s="23" t="s">
        <v>281</v>
      </c>
      <c r="AB29" s="24">
        <v>2.0</v>
      </c>
      <c r="AC29" s="24">
        <v>2.0</v>
      </c>
      <c r="AD29" s="24">
        <v>0.0</v>
      </c>
      <c r="AE29" s="24">
        <v>0.0</v>
      </c>
      <c r="AF29" s="24">
        <v>2.0</v>
      </c>
      <c r="AG29" s="33">
        <f t="shared" si="7"/>
        <v>6</v>
      </c>
      <c r="AH29" s="33" t="str">
        <f t="shared" si="8"/>
        <v>Moderate</v>
      </c>
      <c r="AI29" s="24" t="s">
        <v>282</v>
      </c>
      <c r="AJ29" s="25">
        <v>2.0</v>
      </c>
      <c r="AK29" s="25">
        <v>2.0</v>
      </c>
      <c r="AL29" s="25">
        <v>2.0</v>
      </c>
      <c r="AM29" s="25">
        <v>2.0</v>
      </c>
      <c r="AN29" s="25">
        <v>2.0</v>
      </c>
      <c r="AO29" s="34">
        <f t="shared" si="9"/>
        <v>10</v>
      </c>
      <c r="AP29" s="34" t="str">
        <f t="shared" si="10"/>
        <v>Low</v>
      </c>
      <c r="AQ29" s="25" t="s">
        <v>283</v>
      </c>
      <c r="AR29" s="26">
        <v>1.0</v>
      </c>
      <c r="AS29" s="26">
        <v>2.0</v>
      </c>
      <c r="AT29" s="26">
        <v>-1.0</v>
      </c>
      <c r="AU29" s="26">
        <v>0.0</v>
      </c>
      <c r="AV29" s="26">
        <v>0.0</v>
      </c>
      <c r="AW29" s="35">
        <f t="shared" si="11"/>
        <v>2</v>
      </c>
      <c r="AX29" s="35" t="str">
        <f t="shared" si="12"/>
        <v>Serious</v>
      </c>
      <c r="AY29" s="26" t="s">
        <v>284</v>
      </c>
      <c r="AZ29" s="27">
        <v>2.0</v>
      </c>
      <c r="BA29" s="27">
        <v>2.0</v>
      </c>
      <c r="BB29" s="27">
        <v>2.0</v>
      </c>
      <c r="BC29" s="27">
        <v>2.0</v>
      </c>
      <c r="BD29" s="27">
        <v>2.0</v>
      </c>
      <c r="BE29" s="36">
        <f t="shared" si="13"/>
        <v>10</v>
      </c>
      <c r="BF29" s="36" t="str">
        <f t="shared" si="14"/>
        <v>Low</v>
      </c>
      <c r="BG29" s="27" t="s">
        <v>285</v>
      </c>
      <c r="BH29" s="37">
        <f t="shared" si="15"/>
        <v>56</v>
      </c>
      <c r="BI29" s="37" t="str">
        <f t="shared" si="16"/>
        <v>Low</v>
      </c>
      <c r="BJ29" s="29" t="b">
        <v>0</v>
      </c>
    </row>
    <row r="30">
      <c r="A30" s="28">
        <v>28.0</v>
      </c>
      <c r="B30" s="29" t="s">
        <v>286</v>
      </c>
      <c r="C30" s="29" t="s">
        <v>287</v>
      </c>
      <c r="D30" s="21">
        <v>2.0</v>
      </c>
      <c r="E30" s="21">
        <v>2.0</v>
      </c>
      <c r="F30" s="21">
        <v>1.0</v>
      </c>
      <c r="G30" s="21">
        <v>2.0</v>
      </c>
      <c r="H30" s="21">
        <v>2.0</v>
      </c>
      <c r="I30" s="30">
        <f t="shared" si="1"/>
        <v>9</v>
      </c>
      <c r="J30" s="30" t="str">
        <f t="shared" si="2"/>
        <v>Low</v>
      </c>
      <c r="K30" s="21" t="s">
        <v>288</v>
      </c>
      <c r="L30" s="22">
        <v>2.0</v>
      </c>
      <c r="M30" s="22">
        <v>2.0</v>
      </c>
      <c r="N30" s="22">
        <v>0.0</v>
      </c>
      <c r="O30" s="22">
        <v>2.0</v>
      </c>
      <c r="P30" s="22">
        <v>2.0</v>
      </c>
      <c r="Q30" s="31">
        <f t="shared" si="3"/>
        <v>8</v>
      </c>
      <c r="R30" s="31" t="str">
        <f t="shared" si="4"/>
        <v>Low</v>
      </c>
      <c r="S30" s="22" t="s">
        <v>289</v>
      </c>
      <c r="T30" s="23">
        <v>2.0</v>
      </c>
      <c r="U30" s="23">
        <v>2.0</v>
      </c>
      <c r="V30" s="23">
        <v>2.0</v>
      </c>
      <c r="W30" s="23">
        <v>2.0</v>
      </c>
      <c r="X30" s="23">
        <v>2.0</v>
      </c>
      <c r="Y30" s="32">
        <f t="shared" si="5"/>
        <v>10</v>
      </c>
      <c r="Z30" s="32" t="str">
        <f t="shared" si="6"/>
        <v>Low</v>
      </c>
      <c r="AA30" s="23" t="s">
        <v>290</v>
      </c>
      <c r="AB30" s="24">
        <v>2.0</v>
      </c>
      <c r="AC30" s="24">
        <v>2.0</v>
      </c>
      <c r="AD30" s="24">
        <v>0.0</v>
      </c>
      <c r="AE30" s="24">
        <v>2.0</v>
      </c>
      <c r="AF30" s="24">
        <v>2.0</v>
      </c>
      <c r="AG30" s="33">
        <f t="shared" si="7"/>
        <v>8</v>
      </c>
      <c r="AH30" s="33" t="str">
        <f t="shared" si="8"/>
        <v>Low</v>
      </c>
      <c r="AI30" s="24" t="s">
        <v>291</v>
      </c>
      <c r="AJ30" s="25">
        <v>2.0</v>
      </c>
      <c r="AK30" s="25">
        <v>2.0</v>
      </c>
      <c r="AL30" s="25">
        <v>2.0</v>
      </c>
      <c r="AM30" s="25">
        <v>2.0</v>
      </c>
      <c r="AN30" s="25">
        <v>2.0</v>
      </c>
      <c r="AO30" s="34">
        <f t="shared" si="9"/>
        <v>10</v>
      </c>
      <c r="AP30" s="34" t="str">
        <f t="shared" si="10"/>
        <v>Low</v>
      </c>
      <c r="AQ30" s="25" t="s">
        <v>292</v>
      </c>
      <c r="AR30" s="26">
        <v>1.0</v>
      </c>
      <c r="AS30" s="26">
        <v>0.0</v>
      </c>
      <c r="AT30" s="26">
        <v>-2.0</v>
      </c>
      <c r="AU30" s="26">
        <v>1.0</v>
      </c>
      <c r="AV30" s="26">
        <v>1.0</v>
      </c>
      <c r="AW30" s="35">
        <f t="shared" si="11"/>
        <v>1</v>
      </c>
      <c r="AX30" s="35" t="str">
        <f t="shared" si="12"/>
        <v>Serious</v>
      </c>
      <c r="AY30" s="26" t="s">
        <v>293</v>
      </c>
      <c r="AZ30" s="27">
        <v>2.0</v>
      </c>
      <c r="BA30" s="27">
        <v>2.0</v>
      </c>
      <c r="BB30" s="27">
        <v>2.0</v>
      </c>
      <c r="BC30" s="27">
        <v>2.0</v>
      </c>
      <c r="BD30" s="27">
        <v>2.0</v>
      </c>
      <c r="BE30" s="36">
        <f t="shared" si="13"/>
        <v>10</v>
      </c>
      <c r="BF30" s="36" t="str">
        <f t="shared" si="14"/>
        <v>Low</v>
      </c>
      <c r="BG30" s="27" t="s">
        <v>294</v>
      </c>
      <c r="BH30" s="37">
        <f t="shared" si="15"/>
        <v>56</v>
      </c>
      <c r="BI30" s="37" t="str">
        <f t="shared" si="16"/>
        <v>Low</v>
      </c>
      <c r="BJ30" s="29" t="b">
        <v>0</v>
      </c>
    </row>
    <row r="31">
      <c r="A31" s="28">
        <v>29.0</v>
      </c>
      <c r="B31" s="29" t="s">
        <v>295</v>
      </c>
      <c r="C31" s="29" t="s">
        <v>296</v>
      </c>
      <c r="D31" s="21">
        <v>2.0</v>
      </c>
      <c r="E31" s="21">
        <v>2.0</v>
      </c>
      <c r="F31" s="21">
        <v>1.0</v>
      </c>
      <c r="G31" s="21">
        <v>2.0</v>
      </c>
      <c r="H31" s="21">
        <v>2.0</v>
      </c>
      <c r="I31" s="30">
        <f t="shared" si="1"/>
        <v>9</v>
      </c>
      <c r="J31" s="30" t="str">
        <f t="shared" si="2"/>
        <v>Low</v>
      </c>
      <c r="K31" s="21" t="s">
        <v>297</v>
      </c>
      <c r="L31" s="22">
        <v>1.0</v>
      </c>
      <c r="M31" s="22">
        <v>2.0</v>
      </c>
      <c r="N31" s="22">
        <v>0.0</v>
      </c>
      <c r="O31" s="22">
        <v>2.0</v>
      </c>
      <c r="P31" s="22">
        <v>2.0</v>
      </c>
      <c r="Q31" s="31">
        <f t="shared" si="3"/>
        <v>7</v>
      </c>
      <c r="R31" s="31" t="str">
        <f t="shared" si="4"/>
        <v>Moderate</v>
      </c>
      <c r="S31" s="22" t="s">
        <v>298</v>
      </c>
      <c r="T31" s="23">
        <v>2.0</v>
      </c>
      <c r="U31" s="23">
        <v>1.0</v>
      </c>
      <c r="V31" s="23">
        <v>2.0</v>
      </c>
      <c r="W31" s="23">
        <v>2.0</v>
      </c>
      <c r="X31" s="23">
        <v>2.0</v>
      </c>
      <c r="Y31" s="32">
        <f t="shared" si="5"/>
        <v>9</v>
      </c>
      <c r="Z31" s="32" t="str">
        <f t="shared" si="6"/>
        <v>Low</v>
      </c>
      <c r="AA31" s="23" t="s">
        <v>299</v>
      </c>
      <c r="AB31" s="24">
        <v>2.0</v>
      </c>
      <c r="AC31" s="24">
        <v>2.0</v>
      </c>
      <c r="AD31" s="24">
        <v>2.0</v>
      </c>
      <c r="AE31" s="24">
        <v>0.0</v>
      </c>
      <c r="AF31" s="24">
        <v>2.0</v>
      </c>
      <c r="AG31" s="33">
        <f t="shared" si="7"/>
        <v>8</v>
      </c>
      <c r="AH31" s="33" t="str">
        <f t="shared" si="8"/>
        <v>Low</v>
      </c>
      <c r="AI31" s="24" t="s">
        <v>300</v>
      </c>
      <c r="AJ31" s="25">
        <v>2.0</v>
      </c>
      <c r="AK31" s="25">
        <v>2.0</v>
      </c>
      <c r="AL31" s="25">
        <v>2.0</v>
      </c>
      <c r="AM31" s="25">
        <v>2.0</v>
      </c>
      <c r="AN31" s="25">
        <v>2.0</v>
      </c>
      <c r="AO31" s="34">
        <f t="shared" si="9"/>
        <v>10</v>
      </c>
      <c r="AP31" s="34" t="str">
        <f t="shared" si="10"/>
        <v>Low</v>
      </c>
      <c r="AQ31" s="25" t="s">
        <v>301</v>
      </c>
      <c r="AR31" s="26">
        <v>1.0</v>
      </c>
      <c r="AS31" s="26">
        <v>2.0</v>
      </c>
      <c r="AT31" s="26">
        <v>-1.0</v>
      </c>
      <c r="AU31" s="26">
        <v>0.0</v>
      </c>
      <c r="AV31" s="26">
        <v>1.0</v>
      </c>
      <c r="AW31" s="35">
        <f t="shared" si="11"/>
        <v>3</v>
      </c>
      <c r="AX31" s="35" t="str">
        <f t="shared" si="12"/>
        <v>Serious</v>
      </c>
      <c r="AY31" s="26" t="s">
        <v>302</v>
      </c>
      <c r="AZ31" s="27">
        <v>2.0</v>
      </c>
      <c r="BA31" s="27">
        <v>2.0</v>
      </c>
      <c r="BB31" s="27">
        <v>2.0</v>
      </c>
      <c r="BC31" s="27">
        <v>1.0</v>
      </c>
      <c r="BD31" s="27">
        <v>2.0</v>
      </c>
      <c r="BE31" s="36">
        <f t="shared" si="13"/>
        <v>9</v>
      </c>
      <c r="BF31" s="36" t="str">
        <f t="shared" si="14"/>
        <v>Low</v>
      </c>
      <c r="BG31" s="27" t="s">
        <v>303</v>
      </c>
      <c r="BH31" s="37">
        <f t="shared" si="15"/>
        <v>55</v>
      </c>
      <c r="BI31" s="37" t="str">
        <f t="shared" si="16"/>
        <v>Moderate</v>
      </c>
      <c r="BJ31" s="29" t="b">
        <v>0</v>
      </c>
    </row>
    <row r="32">
      <c r="A32" s="28">
        <v>30.0</v>
      </c>
      <c r="B32" s="29" t="s">
        <v>304</v>
      </c>
      <c r="C32" s="29">
        <v>2024.0</v>
      </c>
      <c r="D32" s="21">
        <v>2.0</v>
      </c>
      <c r="E32" s="21">
        <v>2.0</v>
      </c>
      <c r="F32" s="21">
        <v>1.0</v>
      </c>
      <c r="G32" s="21">
        <v>2.0</v>
      </c>
      <c r="H32" s="21">
        <v>2.0</v>
      </c>
      <c r="I32" s="30">
        <f t="shared" si="1"/>
        <v>9</v>
      </c>
      <c r="J32" s="30" t="str">
        <f t="shared" si="2"/>
        <v>Low</v>
      </c>
      <c r="K32" s="21" t="s">
        <v>305</v>
      </c>
      <c r="L32" s="22">
        <v>2.0</v>
      </c>
      <c r="M32" s="22">
        <v>2.0</v>
      </c>
      <c r="N32" s="22">
        <v>0.0</v>
      </c>
      <c r="O32" s="22">
        <v>2.0</v>
      </c>
      <c r="P32" s="22">
        <v>2.0</v>
      </c>
      <c r="Q32" s="31">
        <f t="shared" si="3"/>
        <v>8</v>
      </c>
      <c r="R32" s="31" t="str">
        <f t="shared" si="4"/>
        <v>Low</v>
      </c>
      <c r="S32" s="22" t="s">
        <v>306</v>
      </c>
      <c r="T32" s="23">
        <v>2.0</v>
      </c>
      <c r="U32" s="23">
        <v>2.0</v>
      </c>
      <c r="V32" s="23">
        <v>2.0</v>
      </c>
      <c r="W32" s="23">
        <v>2.0</v>
      </c>
      <c r="X32" s="23">
        <v>2.0</v>
      </c>
      <c r="Y32" s="32">
        <f t="shared" si="5"/>
        <v>10</v>
      </c>
      <c r="Z32" s="32" t="str">
        <f t="shared" si="6"/>
        <v>Low</v>
      </c>
      <c r="AA32" s="23" t="s">
        <v>307</v>
      </c>
      <c r="AB32" s="24">
        <v>2.0</v>
      </c>
      <c r="AC32" s="24">
        <v>2.0</v>
      </c>
      <c r="AD32" s="24">
        <v>2.0</v>
      </c>
      <c r="AE32" s="24">
        <v>0.0</v>
      </c>
      <c r="AF32" s="24">
        <v>2.0</v>
      </c>
      <c r="AG32" s="33">
        <f t="shared" si="7"/>
        <v>8</v>
      </c>
      <c r="AH32" s="33" t="str">
        <f t="shared" si="8"/>
        <v>Low</v>
      </c>
      <c r="AI32" s="24" t="s">
        <v>308</v>
      </c>
      <c r="AJ32" s="25">
        <v>2.0</v>
      </c>
      <c r="AK32" s="25">
        <v>2.0</v>
      </c>
      <c r="AL32" s="25">
        <v>2.0</v>
      </c>
      <c r="AM32" s="25">
        <v>2.0</v>
      </c>
      <c r="AN32" s="25">
        <v>2.0</v>
      </c>
      <c r="AO32" s="34">
        <f t="shared" si="9"/>
        <v>10</v>
      </c>
      <c r="AP32" s="34" t="str">
        <f t="shared" si="10"/>
        <v>Low</v>
      </c>
      <c r="AQ32" s="25" t="s">
        <v>309</v>
      </c>
      <c r="AR32" s="26">
        <v>2.0</v>
      </c>
      <c r="AS32" s="26">
        <v>1.0</v>
      </c>
      <c r="AT32" s="26">
        <v>1.0</v>
      </c>
      <c r="AU32" s="26">
        <v>0.0</v>
      </c>
      <c r="AV32" s="26">
        <v>2.0</v>
      </c>
      <c r="AW32" s="35">
        <f t="shared" si="11"/>
        <v>6</v>
      </c>
      <c r="AX32" s="35" t="str">
        <f t="shared" si="12"/>
        <v>Moderate</v>
      </c>
      <c r="AY32" s="26" t="s">
        <v>310</v>
      </c>
      <c r="AZ32" s="27">
        <v>2.0</v>
      </c>
      <c r="BA32" s="27">
        <v>2.0</v>
      </c>
      <c r="BB32" s="27">
        <v>2.0</v>
      </c>
      <c r="BC32" s="27">
        <v>2.0</v>
      </c>
      <c r="BD32" s="27">
        <v>2.0</v>
      </c>
      <c r="BE32" s="36">
        <f t="shared" si="13"/>
        <v>10</v>
      </c>
      <c r="BF32" s="36" t="str">
        <f t="shared" si="14"/>
        <v>Low</v>
      </c>
      <c r="BG32" s="27" t="s">
        <v>311</v>
      </c>
      <c r="BH32" s="37">
        <f t="shared" si="15"/>
        <v>61</v>
      </c>
      <c r="BI32" s="37" t="str">
        <f t="shared" si="16"/>
        <v>Low</v>
      </c>
      <c r="BJ32" s="29" t="b">
        <v>0</v>
      </c>
    </row>
    <row r="33">
      <c r="A33" s="28">
        <v>31.0</v>
      </c>
      <c r="B33" s="29" t="s">
        <v>312</v>
      </c>
      <c r="C33" s="29" t="s">
        <v>313</v>
      </c>
      <c r="D33" s="21">
        <v>2.0</v>
      </c>
      <c r="E33" s="21">
        <v>2.0</v>
      </c>
      <c r="F33" s="21">
        <v>1.0</v>
      </c>
      <c r="G33" s="21">
        <v>2.0</v>
      </c>
      <c r="H33" s="21">
        <v>1.0</v>
      </c>
      <c r="I33" s="30">
        <f t="shared" si="1"/>
        <v>8</v>
      </c>
      <c r="J33" s="30" t="str">
        <f t="shared" si="2"/>
        <v>Low</v>
      </c>
      <c r="K33" s="21" t="s">
        <v>314</v>
      </c>
      <c r="L33" s="22">
        <v>2.0</v>
      </c>
      <c r="M33" s="22">
        <v>2.0</v>
      </c>
      <c r="N33" s="22">
        <v>1.0</v>
      </c>
      <c r="O33" s="22">
        <v>2.0</v>
      </c>
      <c r="P33" s="22">
        <v>2.0</v>
      </c>
      <c r="Q33" s="31">
        <f t="shared" si="3"/>
        <v>9</v>
      </c>
      <c r="R33" s="31" t="str">
        <f t="shared" si="4"/>
        <v>Low</v>
      </c>
      <c r="S33" s="22" t="s">
        <v>315</v>
      </c>
      <c r="T33" s="23">
        <v>2.0</v>
      </c>
      <c r="U33" s="23">
        <v>2.0</v>
      </c>
      <c r="V33" s="23">
        <v>2.0</v>
      </c>
      <c r="W33" s="23">
        <v>2.0</v>
      </c>
      <c r="X33" s="23">
        <v>2.0</v>
      </c>
      <c r="Y33" s="32">
        <f t="shared" si="5"/>
        <v>10</v>
      </c>
      <c r="Z33" s="32" t="str">
        <f t="shared" si="6"/>
        <v>Low</v>
      </c>
      <c r="AA33" s="23" t="s">
        <v>316</v>
      </c>
      <c r="AB33" s="24">
        <v>2.0</v>
      </c>
      <c r="AC33" s="24">
        <v>2.0</v>
      </c>
      <c r="AD33" s="24">
        <v>2.0</v>
      </c>
      <c r="AE33" s="24">
        <v>0.0</v>
      </c>
      <c r="AF33" s="24">
        <v>2.0</v>
      </c>
      <c r="AG33" s="33">
        <f t="shared" si="7"/>
        <v>8</v>
      </c>
      <c r="AH33" s="33" t="str">
        <f t="shared" si="8"/>
        <v>Low</v>
      </c>
      <c r="AI33" s="24" t="s">
        <v>317</v>
      </c>
      <c r="AJ33" s="25">
        <v>2.0</v>
      </c>
      <c r="AK33" s="25">
        <v>2.0</v>
      </c>
      <c r="AL33" s="25">
        <v>2.0</v>
      </c>
      <c r="AM33" s="25">
        <v>2.0</v>
      </c>
      <c r="AN33" s="25">
        <v>2.0</v>
      </c>
      <c r="AO33" s="34">
        <f t="shared" si="9"/>
        <v>10</v>
      </c>
      <c r="AP33" s="34" t="str">
        <f t="shared" si="10"/>
        <v>Low</v>
      </c>
      <c r="AQ33" s="25" t="s">
        <v>318</v>
      </c>
      <c r="AR33" s="26">
        <v>2.0</v>
      </c>
      <c r="AS33" s="26">
        <v>1.0</v>
      </c>
      <c r="AT33" s="26">
        <v>0.0</v>
      </c>
      <c r="AU33" s="26">
        <v>1.0</v>
      </c>
      <c r="AV33" s="26">
        <v>2.0</v>
      </c>
      <c r="AW33" s="35">
        <f t="shared" si="11"/>
        <v>6</v>
      </c>
      <c r="AX33" s="35" t="str">
        <f t="shared" si="12"/>
        <v>Moderate</v>
      </c>
      <c r="AY33" s="26" t="s">
        <v>319</v>
      </c>
      <c r="AZ33" s="27">
        <v>2.0</v>
      </c>
      <c r="BA33" s="27">
        <v>2.0</v>
      </c>
      <c r="BB33" s="27">
        <v>2.0</v>
      </c>
      <c r="BC33" s="27">
        <v>2.0</v>
      </c>
      <c r="BD33" s="27">
        <v>2.0</v>
      </c>
      <c r="BE33" s="36">
        <f t="shared" si="13"/>
        <v>10</v>
      </c>
      <c r="BF33" s="36" t="str">
        <f t="shared" si="14"/>
        <v>Low</v>
      </c>
      <c r="BG33" s="27" t="s">
        <v>320</v>
      </c>
      <c r="BH33" s="37">
        <f t="shared" si="15"/>
        <v>61</v>
      </c>
      <c r="BI33" s="37" t="str">
        <f t="shared" si="16"/>
        <v>Low</v>
      </c>
      <c r="BJ33" s="29" t="b">
        <v>0</v>
      </c>
    </row>
    <row r="34">
      <c r="A34" s="28">
        <v>32.0</v>
      </c>
      <c r="B34" s="29" t="s">
        <v>321</v>
      </c>
      <c r="C34" s="29" t="s">
        <v>322</v>
      </c>
      <c r="D34" s="21">
        <v>2.0</v>
      </c>
      <c r="E34" s="21">
        <v>2.0</v>
      </c>
      <c r="F34" s="21">
        <v>0.0</v>
      </c>
      <c r="G34" s="21">
        <v>2.0</v>
      </c>
      <c r="H34" s="21">
        <v>1.0</v>
      </c>
      <c r="I34" s="30">
        <f t="shared" si="1"/>
        <v>7</v>
      </c>
      <c r="J34" s="30" t="str">
        <f t="shared" si="2"/>
        <v>Moderate</v>
      </c>
      <c r="K34" s="21" t="s">
        <v>323</v>
      </c>
      <c r="L34" s="22">
        <v>1.0</v>
      </c>
      <c r="M34" s="22">
        <v>2.0</v>
      </c>
      <c r="N34" s="22">
        <v>0.0</v>
      </c>
      <c r="O34" s="22">
        <v>2.0</v>
      </c>
      <c r="P34" s="22">
        <v>2.0</v>
      </c>
      <c r="Q34" s="31">
        <f t="shared" si="3"/>
        <v>7</v>
      </c>
      <c r="R34" s="31" t="str">
        <f t="shared" si="4"/>
        <v>Moderate</v>
      </c>
      <c r="S34" s="22" t="s">
        <v>324</v>
      </c>
      <c r="T34" s="23">
        <v>2.0</v>
      </c>
      <c r="U34" s="23">
        <v>0.0</v>
      </c>
      <c r="V34" s="23">
        <v>2.0</v>
      </c>
      <c r="W34" s="23">
        <v>2.0</v>
      </c>
      <c r="X34" s="23">
        <v>1.0</v>
      </c>
      <c r="Y34" s="32">
        <f t="shared" si="5"/>
        <v>7</v>
      </c>
      <c r="Z34" s="32" t="str">
        <f t="shared" si="6"/>
        <v>Moderate</v>
      </c>
      <c r="AA34" s="23" t="s">
        <v>325</v>
      </c>
      <c r="AB34" s="24">
        <v>2.0</v>
      </c>
      <c r="AC34" s="24">
        <v>2.0</v>
      </c>
      <c r="AD34" s="24">
        <v>2.0</v>
      </c>
      <c r="AE34" s="24">
        <v>0.0</v>
      </c>
      <c r="AF34" s="24">
        <v>2.0</v>
      </c>
      <c r="AG34" s="33">
        <f t="shared" si="7"/>
        <v>8</v>
      </c>
      <c r="AH34" s="33" t="str">
        <f t="shared" si="8"/>
        <v>Low</v>
      </c>
      <c r="AI34" s="24" t="s">
        <v>326</v>
      </c>
      <c r="AJ34" s="25">
        <v>2.0</v>
      </c>
      <c r="AK34" s="25">
        <v>2.0</v>
      </c>
      <c r="AL34" s="25">
        <v>2.0</v>
      </c>
      <c r="AM34" s="25">
        <v>2.0</v>
      </c>
      <c r="AN34" s="25">
        <v>2.0</v>
      </c>
      <c r="AO34" s="34">
        <f t="shared" si="9"/>
        <v>10</v>
      </c>
      <c r="AP34" s="34" t="str">
        <f t="shared" si="10"/>
        <v>Low</v>
      </c>
      <c r="AQ34" s="25" t="s">
        <v>327</v>
      </c>
      <c r="AR34" s="26">
        <v>0.0</v>
      </c>
      <c r="AS34" s="26">
        <v>0.0</v>
      </c>
      <c r="AT34" s="26">
        <v>2.0</v>
      </c>
      <c r="AU34" s="26">
        <v>0.0</v>
      </c>
      <c r="AV34" s="26">
        <v>0.0</v>
      </c>
      <c r="AW34" s="35">
        <f t="shared" si="11"/>
        <v>2</v>
      </c>
      <c r="AX34" s="35" t="str">
        <f t="shared" si="12"/>
        <v>Serious</v>
      </c>
      <c r="AY34" s="26" t="s">
        <v>328</v>
      </c>
      <c r="AZ34" s="27">
        <v>2.0</v>
      </c>
      <c r="BA34" s="27">
        <v>2.0</v>
      </c>
      <c r="BB34" s="27">
        <v>2.0</v>
      </c>
      <c r="BC34" s="27">
        <v>1.0</v>
      </c>
      <c r="BD34" s="27">
        <v>2.0</v>
      </c>
      <c r="BE34" s="36">
        <f t="shared" si="13"/>
        <v>9</v>
      </c>
      <c r="BF34" s="36" t="str">
        <f t="shared" si="14"/>
        <v>Low</v>
      </c>
      <c r="BG34" s="27" t="s">
        <v>329</v>
      </c>
      <c r="BH34" s="37">
        <f t="shared" si="15"/>
        <v>50</v>
      </c>
      <c r="BI34" s="37" t="str">
        <f t="shared" si="16"/>
        <v>Moderate</v>
      </c>
      <c r="BJ34" s="29" t="b">
        <v>0</v>
      </c>
    </row>
    <row r="35">
      <c r="A35" s="28">
        <v>33.0</v>
      </c>
      <c r="B35" s="29" t="s">
        <v>330</v>
      </c>
      <c r="C35" s="38"/>
      <c r="D35" s="21">
        <v>2.0</v>
      </c>
      <c r="E35" s="21">
        <v>2.0</v>
      </c>
      <c r="F35" s="21">
        <v>1.0</v>
      </c>
      <c r="G35" s="21">
        <v>2.0</v>
      </c>
      <c r="H35" s="21">
        <v>2.0</v>
      </c>
      <c r="I35" s="30">
        <f t="shared" si="1"/>
        <v>9</v>
      </c>
      <c r="J35" s="30" t="str">
        <f t="shared" si="2"/>
        <v>Low</v>
      </c>
      <c r="K35" s="21" t="s">
        <v>331</v>
      </c>
      <c r="L35" s="22">
        <v>1.0</v>
      </c>
      <c r="M35" s="22">
        <v>2.0</v>
      </c>
      <c r="N35" s="22">
        <v>0.0</v>
      </c>
      <c r="O35" s="22">
        <v>2.0</v>
      </c>
      <c r="P35" s="22">
        <v>2.0</v>
      </c>
      <c r="Q35" s="31">
        <f t="shared" si="3"/>
        <v>7</v>
      </c>
      <c r="R35" s="31" t="str">
        <f t="shared" si="4"/>
        <v>Moderate</v>
      </c>
      <c r="S35" s="22" t="s">
        <v>332</v>
      </c>
      <c r="T35" s="23">
        <v>2.0</v>
      </c>
      <c r="U35" s="23">
        <v>0.0</v>
      </c>
      <c r="V35" s="23">
        <v>2.0</v>
      </c>
      <c r="W35" s="23">
        <v>2.0</v>
      </c>
      <c r="X35" s="23">
        <v>1.0</v>
      </c>
      <c r="Y35" s="32">
        <f t="shared" si="5"/>
        <v>7</v>
      </c>
      <c r="Z35" s="32" t="str">
        <f t="shared" si="6"/>
        <v>Moderate</v>
      </c>
      <c r="AA35" s="23" t="s">
        <v>333</v>
      </c>
      <c r="AB35" s="24">
        <v>2.0</v>
      </c>
      <c r="AC35" s="24">
        <v>2.0</v>
      </c>
      <c r="AD35" s="24">
        <v>0.0</v>
      </c>
      <c r="AE35" s="24">
        <v>0.0</v>
      </c>
      <c r="AF35" s="24">
        <v>2.0</v>
      </c>
      <c r="AG35" s="33">
        <f t="shared" si="7"/>
        <v>6</v>
      </c>
      <c r="AH35" s="33" t="str">
        <f t="shared" si="8"/>
        <v>Moderate</v>
      </c>
      <c r="AI35" s="24" t="s">
        <v>334</v>
      </c>
      <c r="AJ35" s="25">
        <v>2.0</v>
      </c>
      <c r="AK35" s="25">
        <v>1.0</v>
      </c>
      <c r="AL35" s="25">
        <v>2.0</v>
      </c>
      <c r="AM35" s="25">
        <v>2.0</v>
      </c>
      <c r="AN35" s="25">
        <v>2.0</v>
      </c>
      <c r="AO35" s="34">
        <f t="shared" si="9"/>
        <v>9</v>
      </c>
      <c r="AP35" s="34" t="str">
        <f t="shared" si="10"/>
        <v>Low</v>
      </c>
      <c r="AQ35" s="25" t="s">
        <v>335</v>
      </c>
      <c r="AR35" s="26">
        <v>1.0</v>
      </c>
      <c r="AS35" s="26">
        <v>0.0</v>
      </c>
      <c r="AT35" s="26">
        <v>-2.0</v>
      </c>
      <c r="AU35" s="26">
        <v>2.0</v>
      </c>
      <c r="AV35" s="26">
        <v>0.0</v>
      </c>
      <c r="AW35" s="35">
        <f t="shared" si="11"/>
        <v>1</v>
      </c>
      <c r="AX35" s="35" t="str">
        <f t="shared" si="12"/>
        <v>Serious</v>
      </c>
      <c r="AY35" s="26" t="s">
        <v>336</v>
      </c>
      <c r="AZ35" s="27">
        <v>2.0</v>
      </c>
      <c r="BA35" s="27">
        <v>2.0</v>
      </c>
      <c r="BB35" s="27">
        <v>2.0</v>
      </c>
      <c r="BC35" s="27">
        <v>-2.0</v>
      </c>
      <c r="BD35" s="27">
        <v>2.0</v>
      </c>
      <c r="BE35" s="36">
        <f t="shared" si="13"/>
        <v>6</v>
      </c>
      <c r="BF35" s="36" t="str">
        <f t="shared" si="14"/>
        <v>Moderate</v>
      </c>
      <c r="BG35" s="27" t="s">
        <v>337</v>
      </c>
      <c r="BH35" s="37">
        <f t="shared" si="15"/>
        <v>45</v>
      </c>
      <c r="BI35" s="37" t="str">
        <f t="shared" si="16"/>
        <v>Moderate</v>
      </c>
      <c r="BJ35" s="29" t="b">
        <v>0</v>
      </c>
    </row>
    <row r="36">
      <c r="A36" s="28">
        <v>34.0</v>
      </c>
      <c r="B36" s="29" t="s">
        <v>338</v>
      </c>
      <c r="C36" s="29">
        <v>2020.0</v>
      </c>
      <c r="D36" s="21">
        <v>2.0</v>
      </c>
      <c r="E36" s="21">
        <v>2.0</v>
      </c>
      <c r="F36" s="21">
        <v>1.0</v>
      </c>
      <c r="G36" s="21">
        <v>2.0</v>
      </c>
      <c r="H36" s="21">
        <v>2.0</v>
      </c>
      <c r="I36" s="30">
        <f t="shared" si="1"/>
        <v>9</v>
      </c>
      <c r="J36" s="30" t="str">
        <f t="shared" si="2"/>
        <v>Low</v>
      </c>
      <c r="K36" s="21" t="s">
        <v>339</v>
      </c>
      <c r="L36" s="22">
        <v>2.0</v>
      </c>
      <c r="M36" s="22">
        <v>2.0</v>
      </c>
      <c r="N36" s="22">
        <v>0.0</v>
      </c>
      <c r="O36" s="22">
        <v>2.0</v>
      </c>
      <c r="P36" s="22">
        <v>2.0</v>
      </c>
      <c r="Q36" s="31">
        <f t="shared" si="3"/>
        <v>8</v>
      </c>
      <c r="R36" s="31" t="str">
        <f t="shared" si="4"/>
        <v>Low</v>
      </c>
      <c r="S36" s="22" t="s">
        <v>340</v>
      </c>
      <c r="T36" s="23">
        <v>2.0</v>
      </c>
      <c r="U36" s="23">
        <v>1.0</v>
      </c>
      <c r="V36" s="23">
        <v>2.0</v>
      </c>
      <c r="W36" s="23">
        <v>2.0</v>
      </c>
      <c r="X36" s="23">
        <v>2.0</v>
      </c>
      <c r="Y36" s="32">
        <f t="shared" si="5"/>
        <v>9</v>
      </c>
      <c r="Z36" s="32" t="str">
        <f t="shared" si="6"/>
        <v>Low</v>
      </c>
      <c r="AA36" s="23" t="s">
        <v>341</v>
      </c>
      <c r="AB36" s="24">
        <v>2.0</v>
      </c>
      <c r="AC36" s="24">
        <v>0.0</v>
      </c>
      <c r="AD36" s="24">
        <v>0.0</v>
      </c>
      <c r="AE36" s="24">
        <v>0.0</v>
      </c>
      <c r="AF36" s="24">
        <v>2.0</v>
      </c>
      <c r="AG36" s="33">
        <f t="shared" si="7"/>
        <v>4</v>
      </c>
      <c r="AH36" s="33" t="str">
        <f t="shared" si="8"/>
        <v>Moderate</v>
      </c>
      <c r="AI36" s="24" t="s">
        <v>342</v>
      </c>
      <c r="AJ36" s="25">
        <v>2.0</v>
      </c>
      <c r="AK36" s="25">
        <v>2.0</v>
      </c>
      <c r="AL36" s="25">
        <v>2.0</v>
      </c>
      <c r="AM36" s="25">
        <v>2.0</v>
      </c>
      <c r="AN36" s="25">
        <v>2.0</v>
      </c>
      <c r="AO36" s="34">
        <f t="shared" si="9"/>
        <v>10</v>
      </c>
      <c r="AP36" s="34" t="str">
        <f t="shared" si="10"/>
        <v>Low</v>
      </c>
      <c r="AQ36" s="25" t="s">
        <v>343</v>
      </c>
      <c r="AR36" s="26">
        <v>1.0</v>
      </c>
      <c r="AS36" s="26">
        <v>1.0</v>
      </c>
      <c r="AT36" s="26">
        <v>-1.0</v>
      </c>
      <c r="AU36" s="26">
        <v>0.0</v>
      </c>
      <c r="AV36" s="26">
        <v>1.0</v>
      </c>
      <c r="AW36" s="35">
        <f t="shared" si="11"/>
        <v>2</v>
      </c>
      <c r="AX36" s="35" t="str">
        <f t="shared" si="12"/>
        <v>Serious</v>
      </c>
      <c r="AY36" s="26" t="s">
        <v>344</v>
      </c>
      <c r="AZ36" s="27">
        <v>2.0</v>
      </c>
      <c r="BA36" s="27">
        <v>2.0</v>
      </c>
      <c r="BB36" s="27">
        <v>2.0</v>
      </c>
      <c r="BC36" s="27">
        <v>1.0</v>
      </c>
      <c r="BD36" s="27">
        <v>2.0</v>
      </c>
      <c r="BE36" s="36">
        <f t="shared" si="13"/>
        <v>9</v>
      </c>
      <c r="BF36" s="36" t="str">
        <f t="shared" si="14"/>
        <v>Low</v>
      </c>
      <c r="BG36" s="27" t="s">
        <v>345</v>
      </c>
      <c r="BH36" s="37">
        <f t="shared" si="15"/>
        <v>51</v>
      </c>
      <c r="BI36" s="37" t="str">
        <f t="shared" si="16"/>
        <v>Moderate</v>
      </c>
      <c r="BJ36" s="29" t="b">
        <v>0</v>
      </c>
    </row>
    <row r="37">
      <c r="A37" s="28">
        <v>35.0</v>
      </c>
      <c r="B37" s="29" t="s">
        <v>346</v>
      </c>
      <c r="C37" s="29" t="s">
        <v>347</v>
      </c>
      <c r="D37" s="21">
        <v>2.0</v>
      </c>
      <c r="E37" s="21">
        <v>2.0</v>
      </c>
      <c r="F37" s="21">
        <v>1.0</v>
      </c>
      <c r="G37" s="21">
        <v>2.0</v>
      </c>
      <c r="H37" s="21">
        <v>2.0</v>
      </c>
      <c r="I37" s="30">
        <f t="shared" si="1"/>
        <v>9</v>
      </c>
      <c r="J37" s="30" t="str">
        <f t="shared" si="2"/>
        <v>Low</v>
      </c>
      <c r="K37" s="21" t="s">
        <v>348</v>
      </c>
      <c r="L37" s="22">
        <v>2.0</v>
      </c>
      <c r="M37" s="22">
        <v>2.0</v>
      </c>
      <c r="N37" s="22">
        <v>0.0</v>
      </c>
      <c r="O37" s="22">
        <v>2.0</v>
      </c>
      <c r="P37" s="22">
        <v>2.0</v>
      </c>
      <c r="Q37" s="31">
        <f t="shared" si="3"/>
        <v>8</v>
      </c>
      <c r="R37" s="31" t="str">
        <f t="shared" si="4"/>
        <v>Low</v>
      </c>
      <c r="S37" s="22" t="s">
        <v>349</v>
      </c>
      <c r="T37" s="23">
        <v>2.0</v>
      </c>
      <c r="U37" s="23">
        <v>2.0</v>
      </c>
      <c r="V37" s="23">
        <v>2.0</v>
      </c>
      <c r="W37" s="23">
        <v>2.0</v>
      </c>
      <c r="X37" s="23">
        <v>2.0</v>
      </c>
      <c r="Y37" s="32">
        <f t="shared" si="5"/>
        <v>10</v>
      </c>
      <c r="Z37" s="32" t="str">
        <f t="shared" si="6"/>
        <v>Low</v>
      </c>
      <c r="AA37" s="23" t="s">
        <v>350</v>
      </c>
      <c r="AB37" s="24">
        <v>2.0</v>
      </c>
      <c r="AC37" s="24">
        <v>2.0</v>
      </c>
      <c r="AD37" s="24">
        <v>2.0</v>
      </c>
      <c r="AE37" s="24">
        <v>2.0</v>
      </c>
      <c r="AF37" s="24">
        <v>2.0</v>
      </c>
      <c r="AG37" s="33">
        <f t="shared" si="7"/>
        <v>10</v>
      </c>
      <c r="AH37" s="33" t="str">
        <f t="shared" si="8"/>
        <v>Low</v>
      </c>
      <c r="AI37" s="24" t="s">
        <v>351</v>
      </c>
      <c r="AJ37" s="25">
        <v>2.0</v>
      </c>
      <c r="AK37" s="25">
        <v>2.0</v>
      </c>
      <c r="AL37" s="25">
        <v>2.0</v>
      </c>
      <c r="AM37" s="25">
        <v>2.0</v>
      </c>
      <c r="AN37" s="25">
        <v>2.0</v>
      </c>
      <c r="AO37" s="34">
        <f t="shared" si="9"/>
        <v>10</v>
      </c>
      <c r="AP37" s="34" t="str">
        <f t="shared" si="10"/>
        <v>Low</v>
      </c>
      <c r="AQ37" s="25" t="s">
        <v>352</v>
      </c>
      <c r="AR37" s="26">
        <v>1.0</v>
      </c>
      <c r="AS37" s="26">
        <v>1.0</v>
      </c>
      <c r="AT37" s="26">
        <v>-1.0</v>
      </c>
      <c r="AU37" s="26">
        <v>2.0</v>
      </c>
      <c r="AV37" s="26">
        <v>2.0</v>
      </c>
      <c r="AW37" s="35">
        <f t="shared" si="11"/>
        <v>5</v>
      </c>
      <c r="AX37" s="35" t="str">
        <f t="shared" si="12"/>
        <v>Moderate</v>
      </c>
      <c r="AY37" s="26" t="s">
        <v>353</v>
      </c>
      <c r="AZ37" s="27">
        <v>2.0</v>
      </c>
      <c r="BA37" s="27">
        <v>2.0</v>
      </c>
      <c r="BB37" s="27">
        <v>2.0</v>
      </c>
      <c r="BC37" s="27">
        <v>2.0</v>
      </c>
      <c r="BD37" s="27">
        <v>2.0</v>
      </c>
      <c r="BE37" s="36">
        <f t="shared" si="13"/>
        <v>10</v>
      </c>
      <c r="BF37" s="36" t="str">
        <f t="shared" si="14"/>
        <v>Low</v>
      </c>
      <c r="BG37" s="27" t="s">
        <v>354</v>
      </c>
      <c r="BH37" s="37">
        <f t="shared" si="15"/>
        <v>62</v>
      </c>
      <c r="BI37" s="37" t="str">
        <f t="shared" si="16"/>
        <v>Low</v>
      </c>
      <c r="BJ37" s="29" t="b">
        <v>0</v>
      </c>
    </row>
    <row r="38">
      <c r="A38" s="28">
        <v>36.0</v>
      </c>
      <c r="B38" s="29" t="s">
        <v>355</v>
      </c>
      <c r="C38" s="29">
        <v>2022.0</v>
      </c>
      <c r="D38" s="21">
        <v>2.0</v>
      </c>
      <c r="E38" s="21">
        <v>2.0</v>
      </c>
      <c r="F38" s="21">
        <v>1.0</v>
      </c>
      <c r="G38" s="21">
        <v>2.0</v>
      </c>
      <c r="H38" s="21">
        <v>2.0</v>
      </c>
      <c r="I38" s="30">
        <f t="shared" si="1"/>
        <v>9</v>
      </c>
      <c r="J38" s="30" t="str">
        <f t="shared" si="2"/>
        <v>Low</v>
      </c>
      <c r="K38" s="21" t="s">
        <v>356</v>
      </c>
      <c r="L38" s="22">
        <v>1.0</v>
      </c>
      <c r="M38" s="22">
        <v>2.0</v>
      </c>
      <c r="N38" s="22">
        <v>0.0</v>
      </c>
      <c r="O38" s="22">
        <v>2.0</v>
      </c>
      <c r="P38" s="22">
        <v>2.0</v>
      </c>
      <c r="Q38" s="31">
        <f t="shared" si="3"/>
        <v>7</v>
      </c>
      <c r="R38" s="31" t="str">
        <f t="shared" si="4"/>
        <v>Moderate</v>
      </c>
      <c r="S38" s="22" t="s">
        <v>356</v>
      </c>
      <c r="T38" s="23">
        <v>2.0</v>
      </c>
      <c r="U38" s="23">
        <v>2.0</v>
      </c>
      <c r="V38" s="23">
        <v>2.0</v>
      </c>
      <c r="W38" s="23">
        <v>2.0</v>
      </c>
      <c r="X38" s="23">
        <v>2.0</v>
      </c>
      <c r="Y38" s="32">
        <f t="shared" si="5"/>
        <v>10</v>
      </c>
      <c r="Z38" s="32" t="str">
        <f t="shared" si="6"/>
        <v>Low</v>
      </c>
      <c r="AA38" s="23" t="s">
        <v>357</v>
      </c>
      <c r="AB38" s="24">
        <v>2.0</v>
      </c>
      <c r="AC38" s="24">
        <v>2.0</v>
      </c>
      <c r="AD38" s="24">
        <v>0.0</v>
      </c>
      <c r="AE38" s="24">
        <v>0.0</v>
      </c>
      <c r="AF38" s="24">
        <v>2.0</v>
      </c>
      <c r="AG38" s="33">
        <f t="shared" si="7"/>
        <v>6</v>
      </c>
      <c r="AH38" s="33" t="str">
        <f t="shared" si="8"/>
        <v>Moderate</v>
      </c>
      <c r="AI38" s="24" t="s">
        <v>358</v>
      </c>
      <c r="AJ38" s="25">
        <v>2.0</v>
      </c>
      <c r="AK38" s="25">
        <v>2.0</v>
      </c>
      <c r="AL38" s="25">
        <v>2.0</v>
      </c>
      <c r="AM38" s="25">
        <v>2.0</v>
      </c>
      <c r="AN38" s="25">
        <v>2.0</v>
      </c>
      <c r="AO38" s="34">
        <f t="shared" si="9"/>
        <v>10</v>
      </c>
      <c r="AP38" s="34" t="str">
        <f t="shared" si="10"/>
        <v>Low</v>
      </c>
      <c r="AQ38" s="25" t="s">
        <v>359</v>
      </c>
      <c r="AR38" s="26">
        <v>1.0</v>
      </c>
      <c r="AS38" s="26">
        <v>2.0</v>
      </c>
      <c r="AT38" s="26">
        <v>2.0</v>
      </c>
      <c r="AU38" s="26">
        <v>2.0</v>
      </c>
      <c r="AV38" s="26">
        <v>1.0</v>
      </c>
      <c r="AW38" s="35">
        <f t="shared" si="11"/>
        <v>8</v>
      </c>
      <c r="AX38" s="35" t="str">
        <f t="shared" si="12"/>
        <v>Low</v>
      </c>
      <c r="AY38" s="26" t="s">
        <v>360</v>
      </c>
      <c r="AZ38" s="27">
        <v>2.0</v>
      </c>
      <c r="BA38" s="27">
        <v>2.0</v>
      </c>
      <c r="BB38" s="27">
        <v>2.0</v>
      </c>
      <c r="BC38" s="27">
        <v>2.0</v>
      </c>
      <c r="BD38" s="27">
        <v>2.0</v>
      </c>
      <c r="BE38" s="36">
        <f t="shared" si="13"/>
        <v>10</v>
      </c>
      <c r="BF38" s="36" t="str">
        <f t="shared" si="14"/>
        <v>Low</v>
      </c>
      <c r="BG38" s="27" t="s">
        <v>361</v>
      </c>
      <c r="BH38" s="37">
        <f t="shared" si="15"/>
        <v>60</v>
      </c>
      <c r="BI38" s="37" t="str">
        <f t="shared" si="16"/>
        <v>Low</v>
      </c>
      <c r="BJ38" s="29" t="b">
        <v>0</v>
      </c>
    </row>
    <row r="39">
      <c r="A39" s="28">
        <v>37.0</v>
      </c>
      <c r="B39" s="29" t="s">
        <v>362</v>
      </c>
      <c r="C39" s="29">
        <v>2021.0</v>
      </c>
      <c r="D39" s="21">
        <v>2.0</v>
      </c>
      <c r="E39" s="21">
        <v>2.0</v>
      </c>
      <c r="F39" s="21">
        <v>1.0</v>
      </c>
      <c r="G39" s="21">
        <v>2.0</v>
      </c>
      <c r="H39" s="21">
        <v>1.0</v>
      </c>
      <c r="I39" s="30">
        <f t="shared" si="1"/>
        <v>8</v>
      </c>
      <c r="J39" s="30" t="str">
        <f t="shared" si="2"/>
        <v>Low</v>
      </c>
      <c r="K39" s="21" t="s">
        <v>363</v>
      </c>
      <c r="L39" s="22">
        <v>1.0</v>
      </c>
      <c r="M39" s="22">
        <v>2.0</v>
      </c>
      <c r="N39" s="22">
        <v>0.0</v>
      </c>
      <c r="O39" s="22">
        <v>1.0</v>
      </c>
      <c r="P39" s="22">
        <v>2.0</v>
      </c>
      <c r="Q39" s="31">
        <f t="shared" si="3"/>
        <v>6</v>
      </c>
      <c r="R39" s="31" t="str">
        <f t="shared" si="4"/>
        <v>Moderate</v>
      </c>
      <c r="S39" s="22" t="s">
        <v>364</v>
      </c>
      <c r="T39" s="23">
        <v>2.0</v>
      </c>
      <c r="U39" s="23">
        <v>1.0</v>
      </c>
      <c r="V39" s="23">
        <v>2.0</v>
      </c>
      <c r="W39" s="23">
        <v>2.0</v>
      </c>
      <c r="X39" s="23">
        <v>2.0</v>
      </c>
      <c r="Y39" s="32">
        <f t="shared" si="5"/>
        <v>9</v>
      </c>
      <c r="Z39" s="32" t="str">
        <f t="shared" si="6"/>
        <v>Low</v>
      </c>
      <c r="AA39" s="23" t="s">
        <v>365</v>
      </c>
      <c r="AB39" s="24">
        <v>2.0</v>
      </c>
      <c r="AC39" s="24">
        <v>1.0</v>
      </c>
      <c r="AD39" s="24">
        <v>0.0</v>
      </c>
      <c r="AE39" s="24">
        <v>2.0</v>
      </c>
      <c r="AF39" s="24">
        <v>2.0</v>
      </c>
      <c r="AG39" s="33">
        <f t="shared" si="7"/>
        <v>7</v>
      </c>
      <c r="AH39" s="33" t="str">
        <f t="shared" si="8"/>
        <v>Moderate</v>
      </c>
      <c r="AI39" s="24" t="s">
        <v>366</v>
      </c>
      <c r="AJ39" s="25">
        <v>2.0</v>
      </c>
      <c r="AK39" s="25">
        <v>2.0</v>
      </c>
      <c r="AL39" s="25">
        <v>2.0</v>
      </c>
      <c r="AM39" s="25">
        <v>2.0</v>
      </c>
      <c r="AN39" s="25">
        <v>2.0</v>
      </c>
      <c r="AO39" s="34">
        <f t="shared" si="9"/>
        <v>10</v>
      </c>
      <c r="AP39" s="34" t="str">
        <f t="shared" si="10"/>
        <v>Low</v>
      </c>
      <c r="AQ39" s="25" t="s">
        <v>367</v>
      </c>
      <c r="AR39" s="26">
        <v>1.0</v>
      </c>
      <c r="AS39" s="26">
        <v>0.0</v>
      </c>
      <c r="AT39" s="26">
        <v>-2.0</v>
      </c>
      <c r="AU39" s="26">
        <v>0.0</v>
      </c>
      <c r="AV39" s="26">
        <v>0.0</v>
      </c>
      <c r="AW39" s="35">
        <f t="shared" si="11"/>
        <v>-1</v>
      </c>
      <c r="AX39" s="35" t="str">
        <f t="shared" si="12"/>
        <v>Critical</v>
      </c>
      <c r="AY39" s="26" t="s">
        <v>368</v>
      </c>
      <c r="AZ39" s="27">
        <v>2.0</v>
      </c>
      <c r="BA39" s="27">
        <v>2.0</v>
      </c>
      <c r="BB39" s="27">
        <v>2.0</v>
      </c>
      <c r="BC39" s="27">
        <v>1.0</v>
      </c>
      <c r="BD39" s="27">
        <v>2.0</v>
      </c>
      <c r="BE39" s="36">
        <f t="shared" si="13"/>
        <v>9</v>
      </c>
      <c r="BF39" s="36" t="str">
        <f t="shared" si="14"/>
        <v>Low</v>
      </c>
      <c r="BG39" s="27" t="s">
        <v>369</v>
      </c>
      <c r="BH39" s="37">
        <f t="shared" si="15"/>
        <v>48</v>
      </c>
      <c r="BI39" s="37" t="str">
        <f t="shared" si="16"/>
        <v>Moderate</v>
      </c>
      <c r="BJ39" s="29" t="b">
        <v>0</v>
      </c>
    </row>
    <row r="40">
      <c r="A40" s="28">
        <v>38.0</v>
      </c>
      <c r="B40" s="29" t="s">
        <v>370</v>
      </c>
      <c r="C40" s="29">
        <v>2025.0</v>
      </c>
      <c r="D40" s="21">
        <v>2.0</v>
      </c>
      <c r="E40" s="21">
        <v>2.0</v>
      </c>
      <c r="F40" s="21">
        <v>1.0</v>
      </c>
      <c r="G40" s="21">
        <v>2.0</v>
      </c>
      <c r="H40" s="21">
        <v>2.0</v>
      </c>
      <c r="I40" s="30">
        <f t="shared" si="1"/>
        <v>9</v>
      </c>
      <c r="J40" s="30" t="str">
        <f t="shared" si="2"/>
        <v>Low</v>
      </c>
      <c r="K40" s="21" t="s">
        <v>371</v>
      </c>
      <c r="L40" s="22">
        <v>2.0</v>
      </c>
      <c r="M40" s="22">
        <v>2.0</v>
      </c>
      <c r="N40" s="22">
        <v>0.0</v>
      </c>
      <c r="O40" s="22">
        <v>2.0</v>
      </c>
      <c r="P40" s="22">
        <v>2.0</v>
      </c>
      <c r="Q40" s="31">
        <f t="shared" si="3"/>
        <v>8</v>
      </c>
      <c r="R40" s="31" t="str">
        <f t="shared" si="4"/>
        <v>Low</v>
      </c>
      <c r="S40" s="22" t="s">
        <v>372</v>
      </c>
      <c r="T40" s="23">
        <v>2.0</v>
      </c>
      <c r="U40" s="23">
        <v>2.0</v>
      </c>
      <c r="V40" s="23">
        <v>2.0</v>
      </c>
      <c r="W40" s="23">
        <v>2.0</v>
      </c>
      <c r="X40" s="23">
        <v>2.0</v>
      </c>
      <c r="Y40" s="32">
        <f t="shared" si="5"/>
        <v>10</v>
      </c>
      <c r="Z40" s="32" t="str">
        <f t="shared" si="6"/>
        <v>Low</v>
      </c>
      <c r="AA40" s="23" t="s">
        <v>373</v>
      </c>
      <c r="AB40" s="24">
        <v>2.0</v>
      </c>
      <c r="AC40" s="24">
        <v>2.0</v>
      </c>
      <c r="AD40" s="24">
        <v>2.0</v>
      </c>
      <c r="AE40" s="24">
        <v>0.0</v>
      </c>
      <c r="AF40" s="24">
        <v>2.0</v>
      </c>
      <c r="AG40" s="33">
        <f t="shared" si="7"/>
        <v>8</v>
      </c>
      <c r="AH40" s="33" t="str">
        <f t="shared" si="8"/>
        <v>Low</v>
      </c>
      <c r="AI40" s="24" t="s">
        <v>374</v>
      </c>
      <c r="AJ40" s="25">
        <v>2.0</v>
      </c>
      <c r="AK40" s="25">
        <v>2.0</v>
      </c>
      <c r="AL40" s="25">
        <v>2.0</v>
      </c>
      <c r="AM40" s="25">
        <v>2.0</v>
      </c>
      <c r="AN40" s="25">
        <v>2.0</v>
      </c>
      <c r="AO40" s="34">
        <f t="shared" si="9"/>
        <v>10</v>
      </c>
      <c r="AP40" s="34" t="str">
        <f t="shared" si="10"/>
        <v>Low</v>
      </c>
      <c r="AQ40" s="25" t="s">
        <v>375</v>
      </c>
      <c r="AR40" s="26">
        <v>1.0</v>
      </c>
      <c r="AS40" s="26">
        <v>1.0</v>
      </c>
      <c r="AT40" s="26">
        <v>-2.0</v>
      </c>
      <c r="AU40" s="26">
        <v>1.0</v>
      </c>
      <c r="AV40" s="26">
        <v>2.0</v>
      </c>
      <c r="AW40" s="35">
        <f t="shared" si="11"/>
        <v>3</v>
      </c>
      <c r="AX40" s="35" t="str">
        <f t="shared" si="12"/>
        <v>Serious</v>
      </c>
      <c r="AY40" s="26" t="s">
        <v>376</v>
      </c>
      <c r="AZ40" s="27">
        <v>2.0</v>
      </c>
      <c r="BA40" s="27">
        <v>2.0</v>
      </c>
      <c r="BB40" s="27">
        <v>2.0</v>
      </c>
      <c r="BC40" s="27">
        <v>2.0</v>
      </c>
      <c r="BD40" s="27">
        <v>2.0</v>
      </c>
      <c r="BE40" s="36">
        <f t="shared" si="13"/>
        <v>10</v>
      </c>
      <c r="BF40" s="36" t="str">
        <f t="shared" si="14"/>
        <v>Low</v>
      </c>
      <c r="BG40" s="27" t="s">
        <v>377</v>
      </c>
      <c r="BH40" s="37">
        <f t="shared" si="15"/>
        <v>58</v>
      </c>
      <c r="BI40" s="37" t="str">
        <f t="shared" si="16"/>
        <v>Low</v>
      </c>
      <c r="BJ40" s="29" t="b">
        <v>0</v>
      </c>
    </row>
    <row r="41">
      <c r="A41" s="28">
        <v>39.0</v>
      </c>
      <c r="B41" s="29" t="s">
        <v>378</v>
      </c>
      <c r="C41" s="29" t="s">
        <v>379</v>
      </c>
      <c r="D41" s="21">
        <v>2.0</v>
      </c>
      <c r="E41" s="21">
        <v>2.0</v>
      </c>
      <c r="F41" s="21">
        <v>1.0</v>
      </c>
      <c r="G41" s="21">
        <v>2.0</v>
      </c>
      <c r="H41" s="21">
        <v>1.0</v>
      </c>
      <c r="I41" s="30">
        <f t="shared" si="1"/>
        <v>8</v>
      </c>
      <c r="J41" s="30" t="str">
        <f t="shared" si="2"/>
        <v>Low</v>
      </c>
      <c r="K41" s="21" t="s">
        <v>380</v>
      </c>
      <c r="L41" s="22">
        <v>1.0</v>
      </c>
      <c r="M41" s="22">
        <v>2.0</v>
      </c>
      <c r="N41" s="22">
        <v>0.0</v>
      </c>
      <c r="O41" s="22">
        <v>2.0</v>
      </c>
      <c r="P41" s="22">
        <v>2.0</v>
      </c>
      <c r="Q41" s="31">
        <f t="shared" si="3"/>
        <v>7</v>
      </c>
      <c r="R41" s="31" t="str">
        <f t="shared" si="4"/>
        <v>Moderate</v>
      </c>
      <c r="S41" s="22" t="s">
        <v>381</v>
      </c>
      <c r="T41" s="23">
        <v>2.0</v>
      </c>
      <c r="U41" s="23">
        <v>0.0</v>
      </c>
      <c r="V41" s="23">
        <v>2.0</v>
      </c>
      <c r="W41" s="23">
        <v>2.0</v>
      </c>
      <c r="X41" s="23">
        <v>2.0</v>
      </c>
      <c r="Y41" s="32">
        <f t="shared" si="5"/>
        <v>8</v>
      </c>
      <c r="Z41" s="32" t="str">
        <f t="shared" si="6"/>
        <v>Low</v>
      </c>
      <c r="AA41" s="23" t="s">
        <v>382</v>
      </c>
      <c r="AB41" s="24">
        <v>2.0</v>
      </c>
      <c r="AC41" s="24">
        <v>2.0</v>
      </c>
      <c r="AD41" s="24">
        <v>2.0</v>
      </c>
      <c r="AE41" s="24">
        <v>0.0</v>
      </c>
      <c r="AF41" s="24">
        <v>2.0</v>
      </c>
      <c r="AG41" s="33">
        <f t="shared" si="7"/>
        <v>8</v>
      </c>
      <c r="AH41" s="33" t="str">
        <f t="shared" si="8"/>
        <v>Low</v>
      </c>
      <c r="AI41" s="24" t="s">
        <v>383</v>
      </c>
      <c r="AJ41" s="25">
        <v>2.0</v>
      </c>
      <c r="AK41" s="25">
        <v>2.0</v>
      </c>
      <c r="AL41" s="25">
        <v>1.0</v>
      </c>
      <c r="AM41" s="25">
        <v>2.0</v>
      </c>
      <c r="AN41" s="25">
        <v>2.0</v>
      </c>
      <c r="AO41" s="34">
        <f t="shared" si="9"/>
        <v>9</v>
      </c>
      <c r="AP41" s="34" t="str">
        <f t="shared" si="10"/>
        <v>Low</v>
      </c>
      <c r="AQ41" s="25" t="s">
        <v>384</v>
      </c>
      <c r="AR41" s="26">
        <v>0.0</v>
      </c>
      <c r="AS41" s="26">
        <v>0.0</v>
      </c>
      <c r="AT41" s="26">
        <v>-1.0</v>
      </c>
      <c r="AU41" s="26">
        <v>0.0</v>
      </c>
      <c r="AV41" s="26">
        <v>0.0</v>
      </c>
      <c r="AW41" s="35">
        <f t="shared" si="11"/>
        <v>-1</v>
      </c>
      <c r="AX41" s="35" t="str">
        <f t="shared" si="12"/>
        <v>Critical</v>
      </c>
      <c r="AY41" s="26" t="s">
        <v>385</v>
      </c>
      <c r="AZ41" s="27">
        <v>2.0</v>
      </c>
      <c r="BA41" s="27">
        <v>2.0</v>
      </c>
      <c r="BB41" s="27">
        <v>2.0</v>
      </c>
      <c r="BC41" s="27">
        <v>0.0</v>
      </c>
      <c r="BD41" s="27">
        <v>2.0</v>
      </c>
      <c r="BE41" s="36">
        <f t="shared" si="13"/>
        <v>8</v>
      </c>
      <c r="BF41" s="36" t="str">
        <f t="shared" si="14"/>
        <v>Low</v>
      </c>
      <c r="BG41" s="27" t="s">
        <v>386</v>
      </c>
      <c r="BH41" s="37">
        <f t="shared" si="15"/>
        <v>47</v>
      </c>
      <c r="BI41" s="37" t="str">
        <f t="shared" si="16"/>
        <v>Moderate</v>
      </c>
      <c r="BJ41" s="29" t="b">
        <v>0</v>
      </c>
    </row>
    <row r="42">
      <c r="A42" s="28">
        <v>40.0</v>
      </c>
      <c r="B42" s="29" t="s">
        <v>387</v>
      </c>
      <c r="C42" s="29">
        <v>2023.0</v>
      </c>
      <c r="D42" s="21">
        <v>2.0</v>
      </c>
      <c r="E42" s="21">
        <v>2.0</v>
      </c>
      <c r="F42" s="21">
        <v>1.0</v>
      </c>
      <c r="G42" s="21">
        <v>2.0</v>
      </c>
      <c r="H42" s="21">
        <v>1.0</v>
      </c>
      <c r="I42" s="30">
        <f t="shared" si="1"/>
        <v>8</v>
      </c>
      <c r="J42" s="30" t="str">
        <f t="shared" si="2"/>
        <v>Low</v>
      </c>
      <c r="K42" s="21" t="s">
        <v>388</v>
      </c>
      <c r="L42" s="22">
        <v>2.0</v>
      </c>
      <c r="M42" s="22">
        <v>1.0</v>
      </c>
      <c r="N42" s="22">
        <v>0.0</v>
      </c>
      <c r="O42" s="22">
        <v>-2.0</v>
      </c>
      <c r="P42" s="22">
        <v>1.0</v>
      </c>
      <c r="Q42" s="31">
        <f t="shared" si="3"/>
        <v>2</v>
      </c>
      <c r="R42" s="31" t="str">
        <f t="shared" si="4"/>
        <v>Serious</v>
      </c>
      <c r="S42" s="22" t="s">
        <v>389</v>
      </c>
      <c r="T42" s="23">
        <v>2.0</v>
      </c>
      <c r="U42" s="23">
        <v>1.0</v>
      </c>
      <c r="V42" s="23">
        <v>2.0</v>
      </c>
      <c r="W42" s="23">
        <v>2.0</v>
      </c>
      <c r="X42" s="23">
        <v>2.0</v>
      </c>
      <c r="Y42" s="32">
        <f t="shared" si="5"/>
        <v>9</v>
      </c>
      <c r="Z42" s="32" t="str">
        <f t="shared" si="6"/>
        <v>Low</v>
      </c>
      <c r="AA42" s="23" t="s">
        <v>390</v>
      </c>
      <c r="AB42" s="24">
        <v>2.0</v>
      </c>
      <c r="AC42" s="24">
        <v>0.0</v>
      </c>
      <c r="AD42" s="24">
        <v>0.0</v>
      </c>
      <c r="AE42" s="24">
        <v>0.0</v>
      </c>
      <c r="AF42" s="24">
        <v>2.0</v>
      </c>
      <c r="AG42" s="33">
        <f t="shared" si="7"/>
        <v>4</v>
      </c>
      <c r="AH42" s="33" t="str">
        <f t="shared" si="8"/>
        <v>Moderate</v>
      </c>
      <c r="AI42" s="24" t="s">
        <v>391</v>
      </c>
      <c r="AJ42" s="25">
        <v>1.0</v>
      </c>
      <c r="AK42" s="25">
        <v>2.0</v>
      </c>
      <c r="AL42" s="25">
        <v>2.0</v>
      </c>
      <c r="AM42" s="25">
        <v>2.0</v>
      </c>
      <c r="AN42" s="25">
        <v>2.0</v>
      </c>
      <c r="AO42" s="34">
        <f t="shared" si="9"/>
        <v>9</v>
      </c>
      <c r="AP42" s="34" t="str">
        <f t="shared" si="10"/>
        <v>Low</v>
      </c>
      <c r="AQ42" s="25" t="s">
        <v>392</v>
      </c>
      <c r="AR42" s="26">
        <v>2.0</v>
      </c>
      <c r="AS42" s="26">
        <v>2.0</v>
      </c>
      <c r="AT42" s="26">
        <v>2.0</v>
      </c>
      <c r="AU42" s="26">
        <v>0.0</v>
      </c>
      <c r="AV42" s="26">
        <v>1.0</v>
      </c>
      <c r="AW42" s="35">
        <f t="shared" si="11"/>
        <v>7</v>
      </c>
      <c r="AX42" s="35" t="str">
        <f t="shared" si="12"/>
        <v>Moderate</v>
      </c>
      <c r="AY42" s="26" t="s">
        <v>393</v>
      </c>
      <c r="AZ42" s="27">
        <v>2.0</v>
      </c>
      <c r="BA42" s="27">
        <v>2.0</v>
      </c>
      <c r="BB42" s="27">
        <v>2.0</v>
      </c>
      <c r="BC42" s="27">
        <v>1.0</v>
      </c>
      <c r="BD42" s="27">
        <v>2.0</v>
      </c>
      <c r="BE42" s="36">
        <f t="shared" si="13"/>
        <v>9</v>
      </c>
      <c r="BF42" s="36" t="str">
        <f t="shared" si="14"/>
        <v>Low</v>
      </c>
      <c r="BG42" s="27" t="s">
        <v>394</v>
      </c>
      <c r="BH42" s="37">
        <f t="shared" si="15"/>
        <v>48</v>
      </c>
      <c r="BI42" s="37" t="str">
        <f t="shared" si="16"/>
        <v>Moderate</v>
      </c>
      <c r="BJ42" s="29" t="b">
        <v>0</v>
      </c>
    </row>
    <row r="43">
      <c r="A43" s="28">
        <v>41.0</v>
      </c>
      <c r="B43" s="29" t="s">
        <v>395</v>
      </c>
      <c r="C43" s="38"/>
      <c r="D43" s="21">
        <v>2.0</v>
      </c>
      <c r="E43" s="21">
        <v>2.0</v>
      </c>
      <c r="F43" s="21">
        <v>2.0</v>
      </c>
      <c r="G43" s="21">
        <v>2.0</v>
      </c>
      <c r="H43" s="21">
        <v>2.0</v>
      </c>
      <c r="I43" s="30">
        <f t="shared" si="1"/>
        <v>10</v>
      </c>
      <c r="J43" s="30" t="str">
        <f t="shared" si="2"/>
        <v>Low</v>
      </c>
      <c r="K43" s="21" t="s">
        <v>396</v>
      </c>
      <c r="L43" s="22">
        <v>1.0</v>
      </c>
      <c r="M43" s="22">
        <v>2.0</v>
      </c>
      <c r="N43" s="22">
        <v>0.0</v>
      </c>
      <c r="O43" s="22">
        <v>2.0</v>
      </c>
      <c r="P43" s="22">
        <v>2.0</v>
      </c>
      <c r="Q43" s="31">
        <f t="shared" si="3"/>
        <v>7</v>
      </c>
      <c r="R43" s="31" t="str">
        <f t="shared" si="4"/>
        <v>Moderate</v>
      </c>
      <c r="S43" s="22" t="s">
        <v>397</v>
      </c>
      <c r="T43" s="23">
        <v>2.0</v>
      </c>
      <c r="U43" s="23">
        <v>2.0</v>
      </c>
      <c r="V43" s="23">
        <v>2.0</v>
      </c>
      <c r="W43" s="23">
        <v>2.0</v>
      </c>
      <c r="X43" s="23">
        <v>2.0</v>
      </c>
      <c r="Y43" s="32">
        <f t="shared" si="5"/>
        <v>10</v>
      </c>
      <c r="Z43" s="32" t="str">
        <f t="shared" si="6"/>
        <v>Low</v>
      </c>
      <c r="AA43" s="23" t="s">
        <v>398</v>
      </c>
      <c r="AB43" s="24">
        <v>2.0</v>
      </c>
      <c r="AC43" s="24">
        <v>2.0</v>
      </c>
      <c r="AD43" s="24">
        <v>2.0</v>
      </c>
      <c r="AE43" s="24">
        <v>2.0</v>
      </c>
      <c r="AF43" s="24">
        <v>2.0</v>
      </c>
      <c r="AG43" s="33">
        <f t="shared" si="7"/>
        <v>10</v>
      </c>
      <c r="AH43" s="33" t="str">
        <f t="shared" si="8"/>
        <v>Low</v>
      </c>
      <c r="AI43" s="24" t="s">
        <v>399</v>
      </c>
      <c r="AJ43" s="25">
        <v>2.0</v>
      </c>
      <c r="AK43" s="25">
        <v>2.0</v>
      </c>
      <c r="AL43" s="25">
        <v>1.0</v>
      </c>
      <c r="AM43" s="25">
        <v>2.0</v>
      </c>
      <c r="AN43" s="25">
        <v>2.0</v>
      </c>
      <c r="AO43" s="34">
        <f t="shared" si="9"/>
        <v>9</v>
      </c>
      <c r="AP43" s="34" t="str">
        <f t="shared" si="10"/>
        <v>Low</v>
      </c>
      <c r="AQ43" s="25" t="s">
        <v>400</v>
      </c>
      <c r="AR43" s="26">
        <v>1.0</v>
      </c>
      <c r="AS43" s="26">
        <v>1.0</v>
      </c>
      <c r="AT43" s="26">
        <v>-1.0</v>
      </c>
      <c r="AU43" s="26">
        <v>2.0</v>
      </c>
      <c r="AV43" s="26">
        <v>2.0</v>
      </c>
      <c r="AW43" s="35">
        <f t="shared" si="11"/>
        <v>5</v>
      </c>
      <c r="AX43" s="35" t="str">
        <f t="shared" si="12"/>
        <v>Moderate</v>
      </c>
      <c r="AY43" s="26" t="s">
        <v>401</v>
      </c>
      <c r="AZ43" s="27">
        <v>2.0</v>
      </c>
      <c r="BA43" s="27">
        <v>2.0</v>
      </c>
      <c r="BB43" s="27">
        <v>2.0</v>
      </c>
      <c r="BC43" s="27">
        <v>2.0</v>
      </c>
      <c r="BD43" s="27">
        <v>2.0</v>
      </c>
      <c r="BE43" s="36">
        <f t="shared" si="13"/>
        <v>10</v>
      </c>
      <c r="BF43" s="36" t="str">
        <f t="shared" si="14"/>
        <v>Low</v>
      </c>
      <c r="BG43" s="27" t="s">
        <v>402</v>
      </c>
      <c r="BH43" s="37">
        <f t="shared" si="15"/>
        <v>61</v>
      </c>
      <c r="BI43" s="37" t="str">
        <f t="shared" si="16"/>
        <v>Low</v>
      </c>
      <c r="BJ43" s="29" t="b">
        <v>0</v>
      </c>
    </row>
    <row r="44">
      <c r="A44" s="28">
        <v>42.0</v>
      </c>
      <c r="B44" s="29" t="s">
        <v>403</v>
      </c>
      <c r="C44" s="29">
        <v>2024.0</v>
      </c>
      <c r="D44" s="21">
        <v>2.0</v>
      </c>
      <c r="E44" s="21">
        <v>2.0</v>
      </c>
      <c r="F44" s="21">
        <v>0.0</v>
      </c>
      <c r="G44" s="21">
        <v>2.0</v>
      </c>
      <c r="H44" s="21">
        <v>1.0</v>
      </c>
      <c r="I44" s="30">
        <f t="shared" si="1"/>
        <v>7</v>
      </c>
      <c r="J44" s="30" t="str">
        <f t="shared" si="2"/>
        <v>Moderate</v>
      </c>
      <c r="K44" s="21" t="s">
        <v>404</v>
      </c>
      <c r="L44" s="22">
        <v>2.0</v>
      </c>
      <c r="M44" s="22">
        <v>2.0</v>
      </c>
      <c r="N44" s="22">
        <v>2.0</v>
      </c>
      <c r="O44" s="22">
        <v>2.0</v>
      </c>
      <c r="P44" s="22">
        <v>2.0</v>
      </c>
      <c r="Q44" s="31">
        <f t="shared" si="3"/>
        <v>10</v>
      </c>
      <c r="R44" s="31" t="str">
        <f t="shared" si="4"/>
        <v>Low</v>
      </c>
      <c r="S44" s="22" t="s">
        <v>405</v>
      </c>
      <c r="T44" s="23">
        <v>2.0</v>
      </c>
      <c r="U44" s="23">
        <v>0.0</v>
      </c>
      <c r="V44" s="23">
        <v>2.0</v>
      </c>
      <c r="W44" s="23">
        <v>1.0</v>
      </c>
      <c r="X44" s="23">
        <v>2.0</v>
      </c>
      <c r="Y44" s="32">
        <f t="shared" si="5"/>
        <v>7</v>
      </c>
      <c r="Z44" s="32" t="str">
        <f t="shared" si="6"/>
        <v>Moderate</v>
      </c>
      <c r="AA44" s="23" t="s">
        <v>406</v>
      </c>
      <c r="AB44" s="24">
        <v>2.0</v>
      </c>
      <c r="AC44" s="24">
        <v>0.0</v>
      </c>
      <c r="AD44" s="24">
        <v>0.0</v>
      </c>
      <c r="AE44" s="24">
        <v>0.0</v>
      </c>
      <c r="AF44" s="24">
        <v>2.0</v>
      </c>
      <c r="AG44" s="33">
        <f t="shared" si="7"/>
        <v>4</v>
      </c>
      <c r="AH44" s="33" t="str">
        <f t="shared" si="8"/>
        <v>Moderate</v>
      </c>
      <c r="AI44" s="24" t="s">
        <v>407</v>
      </c>
      <c r="AJ44" s="25">
        <v>2.0</v>
      </c>
      <c r="AK44" s="25">
        <v>2.0</v>
      </c>
      <c r="AL44" s="25">
        <v>2.0</v>
      </c>
      <c r="AM44" s="25">
        <v>2.0</v>
      </c>
      <c r="AN44" s="25">
        <v>2.0</v>
      </c>
      <c r="AO44" s="34">
        <f t="shared" si="9"/>
        <v>10</v>
      </c>
      <c r="AP44" s="34" t="str">
        <f t="shared" si="10"/>
        <v>Low</v>
      </c>
      <c r="AQ44" s="25" t="s">
        <v>408</v>
      </c>
      <c r="AR44" s="26">
        <v>0.0</v>
      </c>
      <c r="AS44" s="26">
        <v>0.0</v>
      </c>
      <c r="AT44" s="26">
        <v>0.0</v>
      </c>
      <c r="AU44" s="26">
        <v>0.0</v>
      </c>
      <c r="AV44" s="26">
        <v>0.0</v>
      </c>
      <c r="AW44" s="35">
        <f t="shared" si="11"/>
        <v>0</v>
      </c>
      <c r="AX44" s="35" t="str">
        <f t="shared" si="12"/>
        <v>Serious</v>
      </c>
      <c r="AY44" s="26" t="s">
        <v>409</v>
      </c>
      <c r="AZ44" s="27">
        <v>2.0</v>
      </c>
      <c r="BA44" s="27">
        <v>2.0</v>
      </c>
      <c r="BB44" s="27">
        <v>2.0</v>
      </c>
      <c r="BC44" s="27">
        <v>1.0</v>
      </c>
      <c r="BD44" s="27">
        <v>2.0</v>
      </c>
      <c r="BE44" s="36">
        <f t="shared" si="13"/>
        <v>9</v>
      </c>
      <c r="BF44" s="36" t="str">
        <f t="shared" si="14"/>
        <v>Low</v>
      </c>
      <c r="BG44" s="27" t="s">
        <v>410</v>
      </c>
      <c r="BH44" s="37">
        <f t="shared" si="15"/>
        <v>47</v>
      </c>
      <c r="BI44" s="37" t="str">
        <f t="shared" si="16"/>
        <v>Moderate</v>
      </c>
      <c r="BJ44" s="29" t="b">
        <v>0</v>
      </c>
    </row>
    <row r="45">
      <c r="A45" s="28">
        <v>43.0</v>
      </c>
      <c r="B45" s="29" t="s">
        <v>411</v>
      </c>
      <c r="C45" s="29">
        <v>2023.0</v>
      </c>
      <c r="D45" s="21">
        <v>2.0</v>
      </c>
      <c r="E45" s="21">
        <v>2.0</v>
      </c>
      <c r="F45" s="21">
        <v>0.0</v>
      </c>
      <c r="G45" s="21">
        <v>2.0</v>
      </c>
      <c r="H45" s="21">
        <v>1.0</v>
      </c>
      <c r="I45" s="30">
        <f t="shared" si="1"/>
        <v>7</v>
      </c>
      <c r="J45" s="30" t="str">
        <f t="shared" si="2"/>
        <v>Moderate</v>
      </c>
      <c r="K45" s="21" t="s">
        <v>412</v>
      </c>
      <c r="L45" s="22">
        <v>2.0</v>
      </c>
      <c r="M45" s="22">
        <v>2.0</v>
      </c>
      <c r="N45" s="22">
        <v>0.0</v>
      </c>
      <c r="O45" s="22">
        <v>1.0</v>
      </c>
      <c r="P45" s="22">
        <v>2.0</v>
      </c>
      <c r="Q45" s="31">
        <f t="shared" si="3"/>
        <v>7</v>
      </c>
      <c r="R45" s="31" t="str">
        <f t="shared" si="4"/>
        <v>Moderate</v>
      </c>
      <c r="S45" s="22" t="s">
        <v>413</v>
      </c>
      <c r="T45" s="23">
        <v>2.0</v>
      </c>
      <c r="U45" s="23">
        <v>0.0</v>
      </c>
      <c r="V45" s="23">
        <v>2.0</v>
      </c>
      <c r="W45" s="23">
        <v>2.0</v>
      </c>
      <c r="X45" s="23">
        <v>2.0</v>
      </c>
      <c r="Y45" s="32">
        <f t="shared" si="5"/>
        <v>8</v>
      </c>
      <c r="Z45" s="32" t="str">
        <f t="shared" si="6"/>
        <v>Low</v>
      </c>
      <c r="AA45" s="23" t="s">
        <v>414</v>
      </c>
      <c r="AB45" s="24">
        <v>2.0</v>
      </c>
      <c r="AC45" s="24">
        <v>2.0</v>
      </c>
      <c r="AD45" s="24">
        <v>0.0</v>
      </c>
      <c r="AE45" s="24">
        <v>0.0</v>
      </c>
      <c r="AF45" s="24">
        <v>2.0</v>
      </c>
      <c r="AG45" s="33">
        <f t="shared" si="7"/>
        <v>6</v>
      </c>
      <c r="AH45" s="33" t="str">
        <f t="shared" si="8"/>
        <v>Moderate</v>
      </c>
      <c r="AI45" s="24" t="s">
        <v>415</v>
      </c>
      <c r="AJ45" s="25">
        <v>1.0</v>
      </c>
      <c r="AK45" s="25">
        <v>1.0</v>
      </c>
      <c r="AL45" s="25">
        <v>2.0</v>
      </c>
      <c r="AM45" s="25">
        <v>2.0</v>
      </c>
      <c r="AN45" s="25">
        <v>2.0</v>
      </c>
      <c r="AO45" s="34">
        <f t="shared" si="9"/>
        <v>8</v>
      </c>
      <c r="AP45" s="34" t="str">
        <f t="shared" si="10"/>
        <v>Low</v>
      </c>
      <c r="AQ45" s="25" t="s">
        <v>416</v>
      </c>
      <c r="AR45" s="26">
        <v>0.0</v>
      </c>
      <c r="AS45" s="26">
        <v>0.0</v>
      </c>
      <c r="AT45" s="26">
        <v>0.0</v>
      </c>
      <c r="AU45" s="26">
        <v>0.0</v>
      </c>
      <c r="AV45" s="26">
        <v>0.0</v>
      </c>
      <c r="AW45" s="35">
        <f t="shared" si="11"/>
        <v>0</v>
      </c>
      <c r="AX45" s="35" t="str">
        <f t="shared" si="12"/>
        <v>Serious</v>
      </c>
      <c r="AY45" s="26" t="s">
        <v>417</v>
      </c>
      <c r="AZ45" s="27">
        <v>2.0</v>
      </c>
      <c r="BA45" s="27">
        <v>1.0</v>
      </c>
      <c r="BB45" s="27">
        <v>2.0</v>
      </c>
      <c r="BC45" s="27">
        <v>1.0</v>
      </c>
      <c r="BD45" s="27">
        <v>2.0</v>
      </c>
      <c r="BE45" s="36">
        <f t="shared" si="13"/>
        <v>8</v>
      </c>
      <c r="BF45" s="36" t="str">
        <f t="shared" si="14"/>
        <v>Low</v>
      </c>
      <c r="BG45" s="27" t="s">
        <v>418</v>
      </c>
      <c r="BH45" s="37">
        <f t="shared" si="15"/>
        <v>44</v>
      </c>
      <c r="BI45" s="37" t="str">
        <f t="shared" si="16"/>
        <v>Moderate</v>
      </c>
      <c r="BJ45" s="29" t="b">
        <v>0</v>
      </c>
    </row>
    <row r="46">
      <c r="A46" s="28">
        <v>44.0</v>
      </c>
      <c r="B46" s="29" t="s">
        <v>419</v>
      </c>
      <c r="C46" s="29">
        <v>2019.0</v>
      </c>
      <c r="D46" s="21">
        <v>2.0</v>
      </c>
      <c r="E46" s="21">
        <v>2.0</v>
      </c>
      <c r="F46" s="21">
        <v>2.0</v>
      </c>
      <c r="G46" s="21">
        <v>2.0</v>
      </c>
      <c r="H46" s="21">
        <v>2.0</v>
      </c>
      <c r="I46" s="30">
        <f t="shared" si="1"/>
        <v>10</v>
      </c>
      <c r="J46" s="30" t="str">
        <f t="shared" si="2"/>
        <v>Low</v>
      </c>
      <c r="K46" s="21" t="s">
        <v>420</v>
      </c>
      <c r="L46" s="22">
        <v>2.0</v>
      </c>
      <c r="M46" s="22">
        <v>2.0</v>
      </c>
      <c r="N46" s="22">
        <v>0.0</v>
      </c>
      <c r="O46" s="22">
        <v>2.0</v>
      </c>
      <c r="P46" s="22">
        <v>2.0</v>
      </c>
      <c r="Q46" s="31">
        <f t="shared" si="3"/>
        <v>8</v>
      </c>
      <c r="R46" s="31" t="str">
        <f t="shared" si="4"/>
        <v>Low</v>
      </c>
      <c r="S46" s="22" t="s">
        <v>421</v>
      </c>
      <c r="T46" s="23">
        <v>2.0</v>
      </c>
      <c r="U46" s="23">
        <v>1.0</v>
      </c>
      <c r="V46" s="23">
        <v>2.0</v>
      </c>
      <c r="W46" s="23">
        <v>2.0</v>
      </c>
      <c r="X46" s="23">
        <v>2.0</v>
      </c>
      <c r="Y46" s="32">
        <f t="shared" si="5"/>
        <v>9</v>
      </c>
      <c r="Z46" s="32" t="str">
        <f t="shared" si="6"/>
        <v>Low</v>
      </c>
      <c r="AA46" s="23" t="s">
        <v>422</v>
      </c>
      <c r="AB46" s="24">
        <v>2.0</v>
      </c>
      <c r="AC46" s="24">
        <v>2.0</v>
      </c>
      <c r="AD46" s="24">
        <v>1.0</v>
      </c>
      <c r="AE46" s="24">
        <v>0.0</v>
      </c>
      <c r="AF46" s="24">
        <v>2.0</v>
      </c>
      <c r="AG46" s="33">
        <f t="shared" si="7"/>
        <v>7</v>
      </c>
      <c r="AH46" s="33" t="str">
        <f t="shared" si="8"/>
        <v>Moderate</v>
      </c>
      <c r="AI46" s="24" t="s">
        <v>423</v>
      </c>
      <c r="AJ46" s="25">
        <v>2.0</v>
      </c>
      <c r="AK46" s="25">
        <v>2.0</v>
      </c>
      <c r="AL46" s="25">
        <v>1.0</v>
      </c>
      <c r="AM46" s="25">
        <v>2.0</v>
      </c>
      <c r="AN46" s="25">
        <v>2.0</v>
      </c>
      <c r="AO46" s="34">
        <f t="shared" si="9"/>
        <v>9</v>
      </c>
      <c r="AP46" s="34" t="str">
        <f t="shared" si="10"/>
        <v>Low</v>
      </c>
      <c r="AQ46" s="25" t="s">
        <v>424</v>
      </c>
      <c r="AR46" s="26">
        <v>1.0</v>
      </c>
      <c r="AS46" s="26">
        <v>0.0</v>
      </c>
      <c r="AT46" s="26">
        <v>-1.0</v>
      </c>
      <c r="AU46" s="26">
        <v>0.0</v>
      </c>
      <c r="AV46" s="26">
        <v>2.0</v>
      </c>
      <c r="AW46" s="35">
        <f t="shared" si="11"/>
        <v>2</v>
      </c>
      <c r="AX46" s="35" t="str">
        <f t="shared" si="12"/>
        <v>Serious</v>
      </c>
      <c r="AY46" s="26" t="s">
        <v>425</v>
      </c>
      <c r="AZ46" s="27">
        <v>2.0</v>
      </c>
      <c r="BA46" s="27">
        <v>2.0</v>
      </c>
      <c r="BB46" s="27">
        <v>2.0</v>
      </c>
      <c r="BC46" s="27">
        <v>2.0</v>
      </c>
      <c r="BD46" s="27">
        <v>2.0</v>
      </c>
      <c r="BE46" s="36">
        <f t="shared" si="13"/>
        <v>10</v>
      </c>
      <c r="BF46" s="36" t="str">
        <f t="shared" si="14"/>
        <v>Low</v>
      </c>
      <c r="BG46" s="27" t="s">
        <v>426</v>
      </c>
      <c r="BH46" s="37">
        <f t="shared" si="15"/>
        <v>55</v>
      </c>
      <c r="BI46" s="37" t="str">
        <f t="shared" si="16"/>
        <v>Moderate</v>
      </c>
      <c r="BJ46" s="29" t="b">
        <v>0</v>
      </c>
    </row>
    <row r="47">
      <c r="A47" s="28">
        <v>45.0</v>
      </c>
      <c r="B47" s="29" t="s">
        <v>427</v>
      </c>
      <c r="C47" s="29" t="s">
        <v>428</v>
      </c>
      <c r="D47" s="21">
        <v>2.0</v>
      </c>
      <c r="E47" s="21">
        <v>2.0</v>
      </c>
      <c r="F47" s="21">
        <v>2.0</v>
      </c>
      <c r="G47" s="21">
        <v>2.0</v>
      </c>
      <c r="H47" s="21">
        <v>1.0</v>
      </c>
      <c r="I47" s="30">
        <f t="shared" si="1"/>
        <v>9</v>
      </c>
      <c r="J47" s="30" t="str">
        <f t="shared" si="2"/>
        <v>Low</v>
      </c>
      <c r="K47" s="21" t="s">
        <v>429</v>
      </c>
      <c r="L47" s="22">
        <v>1.0</v>
      </c>
      <c r="M47" s="22">
        <v>2.0</v>
      </c>
      <c r="N47" s="22">
        <v>0.0</v>
      </c>
      <c r="O47" s="22">
        <v>2.0</v>
      </c>
      <c r="P47" s="22">
        <v>2.0</v>
      </c>
      <c r="Q47" s="31">
        <f t="shared" si="3"/>
        <v>7</v>
      </c>
      <c r="R47" s="31" t="str">
        <f t="shared" si="4"/>
        <v>Moderate</v>
      </c>
      <c r="S47" s="22" t="s">
        <v>430</v>
      </c>
      <c r="T47" s="23">
        <v>2.0</v>
      </c>
      <c r="U47" s="23">
        <v>2.0</v>
      </c>
      <c r="V47" s="23">
        <v>2.0</v>
      </c>
      <c r="W47" s="23">
        <v>2.0</v>
      </c>
      <c r="X47" s="23">
        <v>2.0</v>
      </c>
      <c r="Y47" s="32">
        <f t="shared" si="5"/>
        <v>10</v>
      </c>
      <c r="Z47" s="32" t="str">
        <f t="shared" si="6"/>
        <v>Low</v>
      </c>
      <c r="AA47" s="23" t="s">
        <v>431</v>
      </c>
      <c r="AB47" s="24">
        <v>2.0</v>
      </c>
      <c r="AC47" s="24">
        <v>2.0</v>
      </c>
      <c r="AD47" s="24">
        <v>2.0</v>
      </c>
      <c r="AE47" s="24">
        <v>0.0</v>
      </c>
      <c r="AF47" s="24">
        <v>2.0</v>
      </c>
      <c r="AG47" s="33">
        <f t="shared" si="7"/>
        <v>8</v>
      </c>
      <c r="AH47" s="33" t="str">
        <f t="shared" si="8"/>
        <v>Low</v>
      </c>
      <c r="AI47" s="24" t="s">
        <v>432</v>
      </c>
      <c r="AJ47" s="25">
        <v>2.0</v>
      </c>
      <c r="AK47" s="25">
        <v>2.0</v>
      </c>
      <c r="AL47" s="25">
        <v>2.0</v>
      </c>
      <c r="AM47" s="25">
        <v>2.0</v>
      </c>
      <c r="AN47" s="25">
        <v>2.0</v>
      </c>
      <c r="AO47" s="34">
        <f t="shared" si="9"/>
        <v>10</v>
      </c>
      <c r="AP47" s="34" t="str">
        <f t="shared" si="10"/>
        <v>Low</v>
      </c>
      <c r="AQ47" s="25" t="s">
        <v>433</v>
      </c>
      <c r="AR47" s="26">
        <v>1.0</v>
      </c>
      <c r="AS47" s="26">
        <v>1.0</v>
      </c>
      <c r="AT47" s="26">
        <v>0.0</v>
      </c>
      <c r="AU47" s="26">
        <v>2.0</v>
      </c>
      <c r="AV47" s="26">
        <v>2.0</v>
      </c>
      <c r="AW47" s="35">
        <f t="shared" si="11"/>
        <v>6</v>
      </c>
      <c r="AX47" s="35" t="str">
        <f t="shared" si="12"/>
        <v>Moderate</v>
      </c>
      <c r="AY47" s="26" t="s">
        <v>434</v>
      </c>
      <c r="AZ47" s="27">
        <v>2.0</v>
      </c>
      <c r="BA47" s="27">
        <v>2.0</v>
      </c>
      <c r="BB47" s="27">
        <v>2.0</v>
      </c>
      <c r="BC47" s="27">
        <v>2.0</v>
      </c>
      <c r="BD47" s="27">
        <v>2.0</v>
      </c>
      <c r="BE47" s="36">
        <f t="shared" si="13"/>
        <v>10</v>
      </c>
      <c r="BF47" s="36" t="str">
        <f t="shared" si="14"/>
        <v>Low</v>
      </c>
      <c r="BG47" s="27" t="s">
        <v>435</v>
      </c>
      <c r="BH47" s="37">
        <f t="shared" si="15"/>
        <v>60</v>
      </c>
      <c r="BI47" s="37" t="str">
        <f t="shared" si="16"/>
        <v>Low</v>
      </c>
      <c r="BJ47" s="29" t="b">
        <v>0</v>
      </c>
    </row>
    <row r="48">
      <c r="A48" s="28">
        <v>46.0</v>
      </c>
      <c r="B48" s="29" t="s">
        <v>436</v>
      </c>
      <c r="C48" s="29">
        <v>2025.0</v>
      </c>
      <c r="D48" s="21">
        <v>2.0</v>
      </c>
      <c r="E48" s="21">
        <v>2.0</v>
      </c>
      <c r="F48" s="21">
        <v>1.0</v>
      </c>
      <c r="G48" s="21">
        <v>2.0</v>
      </c>
      <c r="H48" s="21">
        <v>1.0</v>
      </c>
      <c r="I48" s="30">
        <f t="shared" si="1"/>
        <v>8</v>
      </c>
      <c r="J48" s="30" t="str">
        <f t="shared" si="2"/>
        <v>Low</v>
      </c>
      <c r="K48" s="21" t="s">
        <v>437</v>
      </c>
      <c r="L48" s="22">
        <v>1.0</v>
      </c>
      <c r="M48" s="22">
        <v>2.0</v>
      </c>
      <c r="N48" s="22">
        <v>0.0</v>
      </c>
      <c r="O48" s="22">
        <v>1.0</v>
      </c>
      <c r="P48" s="22">
        <v>2.0</v>
      </c>
      <c r="Q48" s="31">
        <f t="shared" si="3"/>
        <v>6</v>
      </c>
      <c r="R48" s="31" t="str">
        <f t="shared" si="4"/>
        <v>Moderate</v>
      </c>
      <c r="S48" s="22" t="s">
        <v>438</v>
      </c>
      <c r="T48" s="23">
        <v>2.0</v>
      </c>
      <c r="U48" s="23">
        <v>2.0</v>
      </c>
      <c r="V48" s="23">
        <v>2.0</v>
      </c>
      <c r="W48" s="23">
        <v>2.0</v>
      </c>
      <c r="X48" s="23">
        <v>2.0</v>
      </c>
      <c r="Y48" s="32">
        <f t="shared" si="5"/>
        <v>10</v>
      </c>
      <c r="Z48" s="32" t="str">
        <f t="shared" si="6"/>
        <v>Low</v>
      </c>
      <c r="AA48" s="23" t="s">
        <v>439</v>
      </c>
      <c r="AB48" s="24">
        <v>2.0</v>
      </c>
      <c r="AC48" s="24">
        <v>2.0</v>
      </c>
      <c r="AD48" s="24">
        <v>2.0</v>
      </c>
      <c r="AE48" s="24">
        <v>2.0</v>
      </c>
      <c r="AF48" s="24">
        <v>2.0</v>
      </c>
      <c r="AG48" s="33">
        <f t="shared" si="7"/>
        <v>10</v>
      </c>
      <c r="AH48" s="33" t="str">
        <f t="shared" si="8"/>
        <v>Low</v>
      </c>
      <c r="AI48" s="24" t="s">
        <v>440</v>
      </c>
      <c r="AJ48" s="25">
        <v>2.0</v>
      </c>
      <c r="AK48" s="25">
        <v>1.0</v>
      </c>
      <c r="AL48" s="25">
        <v>1.0</v>
      </c>
      <c r="AM48" s="25">
        <v>2.0</v>
      </c>
      <c r="AN48" s="25">
        <v>1.0</v>
      </c>
      <c r="AO48" s="34">
        <f t="shared" si="9"/>
        <v>7</v>
      </c>
      <c r="AP48" s="34" t="str">
        <f t="shared" si="10"/>
        <v>Moderate</v>
      </c>
      <c r="AQ48" s="25" t="s">
        <v>441</v>
      </c>
      <c r="AR48" s="26">
        <v>1.0</v>
      </c>
      <c r="AS48" s="26">
        <v>0.0</v>
      </c>
      <c r="AT48" s="26">
        <v>0.0</v>
      </c>
      <c r="AU48" s="26">
        <v>1.0</v>
      </c>
      <c r="AV48" s="26">
        <v>0.0</v>
      </c>
      <c r="AW48" s="35">
        <f t="shared" si="11"/>
        <v>2</v>
      </c>
      <c r="AX48" s="35" t="str">
        <f t="shared" si="12"/>
        <v>Serious</v>
      </c>
      <c r="AY48" s="26" t="s">
        <v>442</v>
      </c>
      <c r="AZ48" s="27">
        <v>2.0</v>
      </c>
      <c r="BA48" s="27">
        <v>1.0</v>
      </c>
      <c r="BB48" s="27">
        <v>2.0</v>
      </c>
      <c r="BC48" s="27">
        <v>2.0</v>
      </c>
      <c r="BD48" s="27">
        <v>2.0</v>
      </c>
      <c r="BE48" s="36">
        <f t="shared" si="13"/>
        <v>9</v>
      </c>
      <c r="BF48" s="36" t="str">
        <f t="shared" si="14"/>
        <v>Low</v>
      </c>
      <c r="BG48" s="27" t="s">
        <v>443</v>
      </c>
      <c r="BH48" s="37">
        <f t="shared" si="15"/>
        <v>52</v>
      </c>
      <c r="BI48" s="37" t="str">
        <f t="shared" si="16"/>
        <v>Moderate</v>
      </c>
      <c r="BJ48" s="29" t="b">
        <v>0</v>
      </c>
    </row>
    <row r="49">
      <c r="A49" s="28">
        <v>47.0</v>
      </c>
      <c r="B49" s="29" t="s">
        <v>444</v>
      </c>
      <c r="C49" s="29">
        <v>2024.0</v>
      </c>
      <c r="D49" s="21">
        <v>2.0</v>
      </c>
      <c r="E49" s="21">
        <v>2.0</v>
      </c>
      <c r="F49" s="21">
        <v>1.0</v>
      </c>
      <c r="G49" s="21">
        <v>2.0</v>
      </c>
      <c r="H49" s="21">
        <v>2.0</v>
      </c>
      <c r="I49" s="30">
        <f t="shared" si="1"/>
        <v>9</v>
      </c>
      <c r="J49" s="30" t="str">
        <f t="shared" si="2"/>
        <v>Low</v>
      </c>
      <c r="K49" s="21" t="s">
        <v>445</v>
      </c>
      <c r="L49" s="22">
        <v>2.0</v>
      </c>
      <c r="M49" s="22">
        <v>2.0</v>
      </c>
      <c r="N49" s="22">
        <v>2.0</v>
      </c>
      <c r="O49" s="22">
        <v>2.0</v>
      </c>
      <c r="P49" s="22">
        <v>2.0</v>
      </c>
      <c r="Q49" s="31">
        <f t="shared" si="3"/>
        <v>10</v>
      </c>
      <c r="R49" s="31" t="str">
        <f t="shared" si="4"/>
        <v>Low</v>
      </c>
      <c r="S49" s="22" t="s">
        <v>446</v>
      </c>
      <c r="T49" s="23">
        <v>2.0</v>
      </c>
      <c r="U49" s="23">
        <v>2.0</v>
      </c>
      <c r="V49" s="23">
        <v>2.0</v>
      </c>
      <c r="W49" s="23">
        <v>2.0</v>
      </c>
      <c r="X49" s="23">
        <v>2.0</v>
      </c>
      <c r="Y49" s="32">
        <f t="shared" si="5"/>
        <v>10</v>
      </c>
      <c r="Z49" s="32" t="str">
        <f t="shared" si="6"/>
        <v>Low</v>
      </c>
      <c r="AA49" s="23" t="s">
        <v>447</v>
      </c>
      <c r="AB49" s="24">
        <v>2.0</v>
      </c>
      <c r="AC49" s="24">
        <v>2.0</v>
      </c>
      <c r="AD49" s="24">
        <v>2.0</v>
      </c>
      <c r="AE49" s="24">
        <v>0.0</v>
      </c>
      <c r="AF49" s="24">
        <v>2.0</v>
      </c>
      <c r="AG49" s="33">
        <f t="shared" si="7"/>
        <v>8</v>
      </c>
      <c r="AH49" s="33" t="str">
        <f t="shared" si="8"/>
        <v>Low</v>
      </c>
      <c r="AI49" s="24" t="s">
        <v>448</v>
      </c>
      <c r="AJ49" s="25">
        <v>2.0</v>
      </c>
      <c r="AK49" s="25">
        <v>2.0</v>
      </c>
      <c r="AL49" s="25">
        <v>2.0</v>
      </c>
      <c r="AM49" s="25">
        <v>2.0</v>
      </c>
      <c r="AN49" s="25">
        <v>2.0</v>
      </c>
      <c r="AO49" s="34">
        <f t="shared" si="9"/>
        <v>10</v>
      </c>
      <c r="AP49" s="34" t="str">
        <f t="shared" si="10"/>
        <v>Low</v>
      </c>
      <c r="AQ49" s="25" t="s">
        <v>449</v>
      </c>
      <c r="AR49" s="26">
        <v>1.0</v>
      </c>
      <c r="AS49" s="26">
        <v>2.0</v>
      </c>
      <c r="AT49" s="26">
        <v>1.0</v>
      </c>
      <c r="AU49" s="26">
        <v>1.0</v>
      </c>
      <c r="AV49" s="26">
        <v>0.0</v>
      </c>
      <c r="AW49" s="35">
        <f t="shared" si="11"/>
        <v>5</v>
      </c>
      <c r="AX49" s="35" t="str">
        <f t="shared" si="12"/>
        <v>Moderate</v>
      </c>
      <c r="AY49" s="26" t="s">
        <v>450</v>
      </c>
      <c r="AZ49" s="27">
        <v>2.0</v>
      </c>
      <c r="BA49" s="27">
        <v>2.0</v>
      </c>
      <c r="BB49" s="27">
        <v>2.0</v>
      </c>
      <c r="BC49" s="27">
        <v>2.0</v>
      </c>
      <c r="BD49" s="27">
        <v>2.0</v>
      </c>
      <c r="BE49" s="36">
        <f t="shared" si="13"/>
        <v>10</v>
      </c>
      <c r="BF49" s="36" t="str">
        <f t="shared" si="14"/>
        <v>Low</v>
      </c>
      <c r="BG49" s="27" t="s">
        <v>451</v>
      </c>
      <c r="BH49" s="37">
        <f t="shared" si="15"/>
        <v>62</v>
      </c>
      <c r="BI49" s="37" t="str">
        <f t="shared" si="16"/>
        <v>Low</v>
      </c>
      <c r="BJ49" s="29" t="b">
        <v>0</v>
      </c>
    </row>
    <row r="50">
      <c r="A50" s="28">
        <v>48.0</v>
      </c>
      <c r="B50" s="29" t="s">
        <v>452</v>
      </c>
      <c r="C50" s="29" t="s">
        <v>453</v>
      </c>
      <c r="D50" s="21">
        <v>1.0</v>
      </c>
      <c r="E50" s="21">
        <v>2.0</v>
      </c>
      <c r="F50" s="21">
        <v>1.0</v>
      </c>
      <c r="G50" s="21">
        <v>2.0</v>
      </c>
      <c r="H50" s="21">
        <v>1.0</v>
      </c>
      <c r="I50" s="30">
        <f t="shared" si="1"/>
        <v>7</v>
      </c>
      <c r="J50" s="30" t="str">
        <f t="shared" si="2"/>
        <v>Moderate</v>
      </c>
      <c r="K50" s="21" t="s">
        <v>454</v>
      </c>
      <c r="L50" s="22">
        <v>1.0</v>
      </c>
      <c r="M50" s="22">
        <v>1.0</v>
      </c>
      <c r="N50" s="22">
        <v>2.0</v>
      </c>
      <c r="O50" s="22">
        <v>2.0</v>
      </c>
      <c r="P50" s="22">
        <v>2.0</v>
      </c>
      <c r="Q50" s="31">
        <f t="shared" si="3"/>
        <v>8</v>
      </c>
      <c r="R50" s="31" t="str">
        <f t="shared" si="4"/>
        <v>Low</v>
      </c>
      <c r="S50" s="22" t="s">
        <v>455</v>
      </c>
      <c r="T50" s="23">
        <v>2.0</v>
      </c>
      <c r="U50" s="23">
        <v>2.0</v>
      </c>
      <c r="V50" s="23">
        <v>2.0</v>
      </c>
      <c r="W50" s="23">
        <v>1.0</v>
      </c>
      <c r="X50" s="23">
        <v>2.0</v>
      </c>
      <c r="Y50" s="32">
        <f t="shared" si="5"/>
        <v>9</v>
      </c>
      <c r="Z50" s="32" t="str">
        <f t="shared" si="6"/>
        <v>Low</v>
      </c>
      <c r="AA50" s="23" t="s">
        <v>456</v>
      </c>
      <c r="AB50" s="24">
        <v>2.0</v>
      </c>
      <c r="AC50" s="24">
        <v>2.0</v>
      </c>
      <c r="AD50" s="24">
        <v>2.0</v>
      </c>
      <c r="AE50" s="24">
        <v>0.0</v>
      </c>
      <c r="AF50" s="24">
        <v>2.0</v>
      </c>
      <c r="AG50" s="33">
        <f t="shared" si="7"/>
        <v>8</v>
      </c>
      <c r="AH50" s="33" t="str">
        <f t="shared" si="8"/>
        <v>Low</v>
      </c>
      <c r="AI50" s="24" t="s">
        <v>457</v>
      </c>
      <c r="AJ50" s="25">
        <v>1.0</v>
      </c>
      <c r="AK50" s="25">
        <v>2.0</v>
      </c>
      <c r="AL50" s="25">
        <v>2.0</v>
      </c>
      <c r="AM50" s="25">
        <v>2.0</v>
      </c>
      <c r="AN50" s="25">
        <v>2.0</v>
      </c>
      <c r="AO50" s="34">
        <f t="shared" si="9"/>
        <v>9</v>
      </c>
      <c r="AP50" s="34" t="str">
        <f t="shared" si="10"/>
        <v>Low</v>
      </c>
      <c r="AQ50" s="25" t="s">
        <v>458</v>
      </c>
      <c r="AR50" s="26">
        <v>1.0</v>
      </c>
      <c r="AS50" s="26">
        <v>1.0</v>
      </c>
      <c r="AT50" s="26">
        <v>-2.0</v>
      </c>
      <c r="AU50" s="26">
        <v>2.0</v>
      </c>
      <c r="AV50" s="26">
        <v>0.0</v>
      </c>
      <c r="AW50" s="35">
        <f t="shared" si="11"/>
        <v>2</v>
      </c>
      <c r="AX50" s="35" t="str">
        <f t="shared" si="12"/>
        <v>Serious</v>
      </c>
      <c r="AY50" s="26" t="s">
        <v>459</v>
      </c>
      <c r="AZ50" s="27">
        <v>2.0</v>
      </c>
      <c r="BA50" s="27">
        <v>2.0</v>
      </c>
      <c r="BB50" s="27">
        <v>2.0</v>
      </c>
      <c r="BC50" s="27">
        <v>2.0</v>
      </c>
      <c r="BD50" s="27">
        <v>2.0</v>
      </c>
      <c r="BE50" s="36">
        <f t="shared" si="13"/>
        <v>10</v>
      </c>
      <c r="BF50" s="36" t="str">
        <f t="shared" si="14"/>
        <v>Low</v>
      </c>
      <c r="BG50" s="27" t="s">
        <v>460</v>
      </c>
      <c r="BH50" s="37">
        <f t="shared" si="15"/>
        <v>53</v>
      </c>
      <c r="BI50" s="37" t="str">
        <f t="shared" si="16"/>
        <v>Moderate</v>
      </c>
      <c r="BJ50" s="29" t="b">
        <v>0</v>
      </c>
    </row>
    <row r="51">
      <c r="A51" s="28">
        <v>49.0</v>
      </c>
      <c r="B51" s="29" t="s">
        <v>461</v>
      </c>
      <c r="C51" s="29" t="s">
        <v>462</v>
      </c>
      <c r="D51" s="21">
        <v>2.0</v>
      </c>
      <c r="E51" s="21">
        <v>2.0</v>
      </c>
      <c r="F51" s="21">
        <v>1.0</v>
      </c>
      <c r="G51" s="21">
        <v>2.0</v>
      </c>
      <c r="H51" s="21">
        <v>2.0</v>
      </c>
      <c r="I51" s="30">
        <f t="shared" si="1"/>
        <v>9</v>
      </c>
      <c r="J51" s="30" t="str">
        <f t="shared" si="2"/>
        <v>Low</v>
      </c>
      <c r="K51" s="21" t="s">
        <v>463</v>
      </c>
      <c r="L51" s="22">
        <v>1.0</v>
      </c>
      <c r="M51" s="22">
        <v>2.0</v>
      </c>
      <c r="N51" s="22">
        <v>1.0</v>
      </c>
      <c r="O51" s="22">
        <v>2.0</v>
      </c>
      <c r="P51" s="22">
        <v>2.0</v>
      </c>
      <c r="Q51" s="31">
        <f t="shared" si="3"/>
        <v>8</v>
      </c>
      <c r="R51" s="31" t="str">
        <f t="shared" si="4"/>
        <v>Low</v>
      </c>
      <c r="S51" s="22" t="s">
        <v>464</v>
      </c>
      <c r="T51" s="23">
        <v>2.0</v>
      </c>
      <c r="U51" s="23">
        <v>1.0</v>
      </c>
      <c r="V51" s="23">
        <v>2.0</v>
      </c>
      <c r="W51" s="23">
        <v>2.0</v>
      </c>
      <c r="X51" s="23">
        <v>2.0</v>
      </c>
      <c r="Y51" s="32">
        <f t="shared" si="5"/>
        <v>9</v>
      </c>
      <c r="Z51" s="32" t="str">
        <f t="shared" si="6"/>
        <v>Low</v>
      </c>
      <c r="AA51" s="23" t="s">
        <v>465</v>
      </c>
      <c r="AB51" s="24">
        <v>2.0</v>
      </c>
      <c r="AC51" s="24">
        <v>2.0</v>
      </c>
      <c r="AD51" s="24">
        <v>1.0</v>
      </c>
      <c r="AE51" s="24">
        <v>1.0</v>
      </c>
      <c r="AF51" s="24">
        <v>2.0</v>
      </c>
      <c r="AG51" s="33">
        <f t="shared" si="7"/>
        <v>8</v>
      </c>
      <c r="AH51" s="33" t="str">
        <f t="shared" si="8"/>
        <v>Low</v>
      </c>
      <c r="AI51" s="24" t="s">
        <v>466</v>
      </c>
      <c r="AJ51" s="25">
        <v>2.0</v>
      </c>
      <c r="AK51" s="25">
        <v>2.0</v>
      </c>
      <c r="AL51" s="25">
        <v>1.0</v>
      </c>
      <c r="AM51" s="25">
        <v>2.0</v>
      </c>
      <c r="AN51" s="25">
        <v>2.0</v>
      </c>
      <c r="AO51" s="34">
        <f t="shared" si="9"/>
        <v>9</v>
      </c>
      <c r="AP51" s="34" t="str">
        <f t="shared" si="10"/>
        <v>Low</v>
      </c>
      <c r="AQ51" s="25" t="s">
        <v>467</v>
      </c>
      <c r="AR51" s="26">
        <v>1.0</v>
      </c>
      <c r="AS51" s="26">
        <v>1.0</v>
      </c>
      <c r="AT51" s="26">
        <v>-1.0</v>
      </c>
      <c r="AU51" s="26">
        <v>2.0</v>
      </c>
      <c r="AV51" s="26">
        <v>1.0</v>
      </c>
      <c r="AW51" s="35">
        <f t="shared" si="11"/>
        <v>4</v>
      </c>
      <c r="AX51" s="35" t="str">
        <f t="shared" si="12"/>
        <v>Moderate</v>
      </c>
      <c r="AY51" s="26" t="s">
        <v>468</v>
      </c>
      <c r="AZ51" s="27">
        <v>2.0</v>
      </c>
      <c r="BA51" s="27">
        <v>2.0</v>
      </c>
      <c r="BB51" s="27">
        <v>2.0</v>
      </c>
      <c r="BC51" s="27">
        <v>1.0</v>
      </c>
      <c r="BD51" s="27">
        <v>2.0</v>
      </c>
      <c r="BE51" s="36">
        <f t="shared" si="13"/>
        <v>9</v>
      </c>
      <c r="BF51" s="36" t="str">
        <f t="shared" si="14"/>
        <v>Low</v>
      </c>
      <c r="BG51" s="27" t="s">
        <v>469</v>
      </c>
      <c r="BH51" s="37">
        <f t="shared" si="15"/>
        <v>56</v>
      </c>
      <c r="BI51" s="37" t="str">
        <f t="shared" si="16"/>
        <v>Low</v>
      </c>
      <c r="BJ51" s="29" t="b">
        <v>0</v>
      </c>
    </row>
    <row r="52">
      <c r="A52" s="28">
        <v>50.0</v>
      </c>
      <c r="B52" s="29" t="s">
        <v>470</v>
      </c>
      <c r="C52" s="29" t="s">
        <v>471</v>
      </c>
      <c r="D52" s="21">
        <v>2.0</v>
      </c>
      <c r="E52" s="21">
        <v>2.0</v>
      </c>
      <c r="F52" s="21">
        <v>1.0</v>
      </c>
      <c r="G52" s="21">
        <v>2.0</v>
      </c>
      <c r="H52" s="21">
        <v>1.0</v>
      </c>
      <c r="I52" s="30">
        <f t="shared" si="1"/>
        <v>8</v>
      </c>
      <c r="J52" s="30" t="str">
        <f t="shared" si="2"/>
        <v>Low</v>
      </c>
      <c r="K52" s="21" t="s">
        <v>472</v>
      </c>
      <c r="L52" s="22">
        <v>2.0</v>
      </c>
      <c r="M52" s="22">
        <v>2.0</v>
      </c>
      <c r="N52" s="22">
        <v>0.0</v>
      </c>
      <c r="O52" s="22">
        <v>2.0</v>
      </c>
      <c r="P52" s="22">
        <v>2.0</v>
      </c>
      <c r="Q52" s="31">
        <f t="shared" si="3"/>
        <v>8</v>
      </c>
      <c r="R52" s="31" t="str">
        <f t="shared" si="4"/>
        <v>Low</v>
      </c>
      <c r="S52" s="22" t="s">
        <v>473</v>
      </c>
      <c r="T52" s="23">
        <v>2.0</v>
      </c>
      <c r="U52" s="23">
        <v>1.0</v>
      </c>
      <c r="V52" s="23">
        <v>2.0</v>
      </c>
      <c r="W52" s="23">
        <v>2.0</v>
      </c>
      <c r="X52" s="23">
        <v>2.0</v>
      </c>
      <c r="Y52" s="32">
        <f t="shared" si="5"/>
        <v>9</v>
      </c>
      <c r="Z52" s="32" t="str">
        <f t="shared" si="6"/>
        <v>Low</v>
      </c>
      <c r="AA52" s="23" t="s">
        <v>474</v>
      </c>
      <c r="AB52" s="24">
        <v>2.0</v>
      </c>
      <c r="AC52" s="24">
        <v>2.0</v>
      </c>
      <c r="AD52" s="24">
        <v>2.0</v>
      </c>
      <c r="AE52" s="24">
        <v>1.0</v>
      </c>
      <c r="AF52" s="24">
        <v>2.0</v>
      </c>
      <c r="AG52" s="33">
        <f t="shared" si="7"/>
        <v>9</v>
      </c>
      <c r="AH52" s="33" t="str">
        <f t="shared" si="8"/>
        <v>Low</v>
      </c>
      <c r="AI52" s="24" t="s">
        <v>475</v>
      </c>
      <c r="AJ52" s="25">
        <v>2.0</v>
      </c>
      <c r="AK52" s="25">
        <v>2.0</v>
      </c>
      <c r="AL52" s="25">
        <v>2.0</v>
      </c>
      <c r="AM52" s="25">
        <v>2.0</v>
      </c>
      <c r="AN52" s="25">
        <v>2.0</v>
      </c>
      <c r="AO52" s="34">
        <f t="shared" si="9"/>
        <v>10</v>
      </c>
      <c r="AP52" s="34" t="str">
        <f t="shared" si="10"/>
        <v>Low</v>
      </c>
      <c r="AQ52" s="25" t="s">
        <v>476</v>
      </c>
      <c r="AR52" s="26">
        <v>2.0</v>
      </c>
      <c r="AS52" s="26">
        <v>1.0</v>
      </c>
      <c r="AT52" s="26">
        <v>-1.0</v>
      </c>
      <c r="AU52" s="26">
        <v>1.0</v>
      </c>
      <c r="AV52" s="26">
        <v>2.0</v>
      </c>
      <c r="AW52" s="35">
        <f t="shared" si="11"/>
        <v>5</v>
      </c>
      <c r="AX52" s="35" t="str">
        <f t="shared" si="12"/>
        <v>Moderate</v>
      </c>
      <c r="AY52" s="26" t="s">
        <v>477</v>
      </c>
      <c r="AZ52" s="27">
        <v>2.0</v>
      </c>
      <c r="BA52" s="27">
        <v>2.0</v>
      </c>
      <c r="BB52" s="27">
        <v>2.0</v>
      </c>
      <c r="BC52" s="27">
        <v>1.0</v>
      </c>
      <c r="BD52" s="27">
        <v>2.0</v>
      </c>
      <c r="BE52" s="36">
        <f t="shared" si="13"/>
        <v>9</v>
      </c>
      <c r="BF52" s="36" t="str">
        <f t="shared" si="14"/>
        <v>Low</v>
      </c>
      <c r="BG52" s="27" t="s">
        <v>478</v>
      </c>
      <c r="BH52" s="37">
        <f t="shared" si="15"/>
        <v>58</v>
      </c>
      <c r="BI52" s="37" t="str">
        <f t="shared" si="16"/>
        <v>Low</v>
      </c>
      <c r="BJ52" s="29" t="b">
        <v>0</v>
      </c>
    </row>
    <row r="53">
      <c r="A53" s="28">
        <v>51.0</v>
      </c>
      <c r="B53" s="29" t="s">
        <v>479</v>
      </c>
      <c r="C53" s="29">
        <v>2020.0</v>
      </c>
      <c r="D53" s="21">
        <v>2.0</v>
      </c>
      <c r="E53" s="21">
        <v>2.0</v>
      </c>
      <c r="F53" s="21">
        <v>2.0</v>
      </c>
      <c r="G53" s="21">
        <v>2.0</v>
      </c>
      <c r="H53" s="21">
        <v>2.0</v>
      </c>
      <c r="I53" s="30">
        <f t="shared" si="1"/>
        <v>10</v>
      </c>
      <c r="J53" s="30" t="str">
        <f t="shared" si="2"/>
        <v>Low</v>
      </c>
      <c r="K53" s="21" t="s">
        <v>480</v>
      </c>
      <c r="L53" s="22">
        <v>2.0</v>
      </c>
      <c r="M53" s="22">
        <v>2.0</v>
      </c>
      <c r="N53" s="22">
        <v>0.0</v>
      </c>
      <c r="O53" s="22">
        <v>2.0</v>
      </c>
      <c r="P53" s="22">
        <v>2.0</v>
      </c>
      <c r="Q53" s="31">
        <f t="shared" si="3"/>
        <v>8</v>
      </c>
      <c r="R53" s="31" t="str">
        <f t="shared" si="4"/>
        <v>Low</v>
      </c>
      <c r="S53" s="22" t="s">
        <v>481</v>
      </c>
      <c r="T53" s="23">
        <v>2.0</v>
      </c>
      <c r="U53" s="23">
        <v>2.0</v>
      </c>
      <c r="V53" s="23">
        <v>2.0</v>
      </c>
      <c r="W53" s="23">
        <v>2.0</v>
      </c>
      <c r="X53" s="23">
        <v>2.0</v>
      </c>
      <c r="Y53" s="32">
        <f t="shared" si="5"/>
        <v>10</v>
      </c>
      <c r="Z53" s="32" t="str">
        <f t="shared" si="6"/>
        <v>Low</v>
      </c>
      <c r="AA53" s="23" t="s">
        <v>482</v>
      </c>
      <c r="AB53" s="24">
        <v>2.0</v>
      </c>
      <c r="AC53" s="24">
        <v>2.0</v>
      </c>
      <c r="AD53" s="24">
        <v>1.0</v>
      </c>
      <c r="AE53" s="24">
        <v>0.0</v>
      </c>
      <c r="AF53" s="24">
        <v>2.0</v>
      </c>
      <c r="AG53" s="33">
        <f t="shared" si="7"/>
        <v>7</v>
      </c>
      <c r="AH53" s="33" t="str">
        <f t="shared" si="8"/>
        <v>Moderate</v>
      </c>
      <c r="AI53" s="24" t="s">
        <v>483</v>
      </c>
      <c r="AJ53" s="25">
        <v>2.0</v>
      </c>
      <c r="AK53" s="25">
        <v>2.0</v>
      </c>
      <c r="AL53" s="25">
        <v>2.0</v>
      </c>
      <c r="AM53" s="25">
        <v>2.0</v>
      </c>
      <c r="AN53" s="25">
        <v>2.0</v>
      </c>
      <c r="AO53" s="34">
        <f t="shared" si="9"/>
        <v>10</v>
      </c>
      <c r="AP53" s="34" t="str">
        <f t="shared" si="10"/>
        <v>Low</v>
      </c>
      <c r="AQ53" s="25" t="s">
        <v>484</v>
      </c>
      <c r="AR53" s="26">
        <v>1.0</v>
      </c>
      <c r="AS53" s="26">
        <v>1.0</v>
      </c>
      <c r="AT53" s="26">
        <v>-2.0</v>
      </c>
      <c r="AU53" s="26">
        <v>1.0</v>
      </c>
      <c r="AV53" s="26">
        <v>1.0</v>
      </c>
      <c r="AW53" s="35">
        <f t="shared" si="11"/>
        <v>2</v>
      </c>
      <c r="AX53" s="35" t="str">
        <f t="shared" si="12"/>
        <v>Serious</v>
      </c>
      <c r="AY53" s="26" t="s">
        <v>485</v>
      </c>
      <c r="AZ53" s="27">
        <v>2.0</v>
      </c>
      <c r="BA53" s="27">
        <v>2.0</v>
      </c>
      <c r="BB53" s="27">
        <v>2.0</v>
      </c>
      <c r="BC53" s="27">
        <v>2.0</v>
      </c>
      <c r="BD53" s="27">
        <v>2.0</v>
      </c>
      <c r="BE53" s="36">
        <f t="shared" si="13"/>
        <v>10</v>
      </c>
      <c r="BF53" s="36" t="str">
        <f t="shared" si="14"/>
        <v>Low</v>
      </c>
      <c r="BG53" s="27" t="s">
        <v>486</v>
      </c>
      <c r="BH53" s="37">
        <f t="shared" si="15"/>
        <v>57</v>
      </c>
      <c r="BI53" s="37" t="str">
        <f t="shared" si="16"/>
        <v>Low</v>
      </c>
      <c r="BJ53" s="29" t="b">
        <v>0</v>
      </c>
    </row>
    <row r="54">
      <c r="A54" s="28">
        <v>52.0</v>
      </c>
      <c r="B54" s="29" t="s">
        <v>487</v>
      </c>
      <c r="C54" s="29" t="s">
        <v>488</v>
      </c>
      <c r="D54" s="21">
        <v>2.0</v>
      </c>
      <c r="E54" s="21">
        <v>2.0</v>
      </c>
      <c r="F54" s="21">
        <v>1.0</v>
      </c>
      <c r="G54" s="21">
        <v>2.0</v>
      </c>
      <c r="H54" s="21">
        <v>1.0</v>
      </c>
      <c r="I54" s="30">
        <f t="shared" si="1"/>
        <v>8</v>
      </c>
      <c r="J54" s="30" t="str">
        <f t="shared" si="2"/>
        <v>Low</v>
      </c>
      <c r="K54" s="21" t="s">
        <v>489</v>
      </c>
      <c r="L54" s="22">
        <v>1.0</v>
      </c>
      <c r="M54" s="22">
        <v>2.0</v>
      </c>
      <c r="N54" s="22">
        <v>0.0</v>
      </c>
      <c r="O54" s="22">
        <v>1.0</v>
      </c>
      <c r="P54" s="22">
        <v>2.0</v>
      </c>
      <c r="Q54" s="31">
        <f t="shared" si="3"/>
        <v>6</v>
      </c>
      <c r="R54" s="31" t="str">
        <f t="shared" si="4"/>
        <v>Moderate</v>
      </c>
      <c r="S54" s="22" t="s">
        <v>490</v>
      </c>
      <c r="T54" s="23">
        <v>2.0</v>
      </c>
      <c r="U54" s="23">
        <v>2.0</v>
      </c>
      <c r="V54" s="23">
        <v>2.0</v>
      </c>
      <c r="W54" s="23">
        <v>2.0</v>
      </c>
      <c r="X54" s="23">
        <v>2.0</v>
      </c>
      <c r="Y54" s="32">
        <f t="shared" si="5"/>
        <v>10</v>
      </c>
      <c r="Z54" s="32" t="str">
        <f t="shared" si="6"/>
        <v>Low</v>
      </c>
      <c r="AA54" s="23" t="s">
        <v>491</v>
      </c>
      <c r="AB54" s="24">
        <v>2.0</v>
      </c>
      <c r="AC54" s="24">
        <v>2.0</v>
      </c>
      <c r="AD54" s="24">
        <v>2.0</v>
      </c>
      <c r="AE54" s="24">
        <v>0.0</v>
      </c>
      <c r="AF54" s="24">
        <v>2.0</v>
      </c>
      <c r="AG54" s="33">
        <f t="shared" si="7"/>
        <v>8</v>
      </c>
      <c r="AH54" s="33" t="str">
        <f t="shared" si="8"/>
        <v>Low</v>
      </c>
      <c r="AI54" s="24" t="s">
        <v>492</v>
      </c>
      <c r="AJ54" s="25">
        <v>2.0</v>
      </c>
      <c r="AK54" s="25">
        <v>2.0</v>
      </c>
      <c r="AL54" s="25">
        <v>2.0</v>
      </c>
      <c r="AM54" s="25">
        <v>2.0</v>
      </c>
      <c r="AN54" s="25">
        <v>2.0</v>
      </c>
      <c r="AO54" s="34">
        <f t="shared" si="9"/>
        <v>10</v>
      </c>
      <c r="AP54" s="34" t="str">
        <f t="shared" si="10"/>
        <v>Low</v>
      </c>
      <c r="AQ54" s="25" t="s">
        <v>493</v>
      </c>
      <c r="AR54" s="26">
        <v>1.0</v>
      </c>
      <c r="AS54" s="26">
        <v>2.0</v>
      </c>
      <c r="AT54" s="26">
        <v>-1.0</v>
      </c>
      <c r="AU54" s="26">
        <v>0.0</v>
      </c>
      <c r="AV54" s="26">
        <v>1.0</v>
      </c>
      <c r="AW54" s="35">
        <f t="shared" si="11"/>
        <v>3</v>
      </c>
      <c r="AX54" s="35" t="str">
        <f t="shared" si="12"/>
        <v>Serious</v>
      </c>
      <c r="AY54" s="26" t="s">
        <v>494</v>
      </c>
      <c r="AZ54" s="27">
        <v>2.0</v>
      </c>
      <c r="BA54" s="27">
        <v>2.0</v>
      </c>
      <c r="BB54" s="27">
        <v>2.0</v>
      </c>
      <c r="BC54" s="27">
        <v>2.0</v>
      </c>
      <c r="BD54" s="27">
        <v>2.0</v>
      </c>
      <c r="BE54" s="36">
        <f t="shared" si="13"/>
        <v>10</v>
      </c>
      <c r="BF54" s="36" t="str">
        <f t="shared" si="14"/>
        <v>Low</v>
      </c>
      <c r="BG54" s="27" t="s">
        <v>495</v>
      </c>
      <c r="BH54" s="37">
        <f t="shared" si="15"/>
        <v>55</v>
      </c>
      <c r="BI54" s="37" t="str">
        <f t="shared" si="16"/>
        <v>Moderate</v>
      </c>
      <c r="BJ54" s="29" t="b">
        <v>0</v>
      </c>
    </row>
    <row r="55">
      <c r="A55" s="28">
        <v>53.0</v>
      </c>
      <c r="B55" s="29" t="s">
        <v>496</v>
      </c>
      <c r="C55" s="38"/>
      <c r="D55" s="21">
        <v>2.0</v>
      </c>
      <c r="E55" s="21">
        <v>2.0</v>
      </c>
      <c r="F55" s="21">
        <v>1.0</v>
      </c>
      <c r="G55" s="21">
        <v>2.0</v>
      </c>
      <c r="H55" s="21">
        <v>2.0</v>
      </c>
      <c r="I55" s="30">
        <f t="shared" si="1"/>
        <v>9</v>
      </c>
      <c r="J55" s="30" t="str">
        <f t="shared" si="2"/>
        <v>Low</v>
      </c>
      <c r="K55" s="21" t="s">
        <v>497</v>
      </c>
      <c r="L55" s="22">
        <v>2.0</v>
      </c>
      <c r="M55" s="22">
        <v>2.0</v>
      </c>
      <c r="N55" s="22">
        <v>1.0</v>
      </c>
      <c r="O55" s="22">
        <v>2.0</v>
      </c>
      <c r="P55" s="22">
        <v>2.0</v>
      </c>
      <c r="Q55" s="31">
        <f t="shared" si="3"/>
        <v>9</v>
      </c>
      <c r="R55" s="31" t="str">
        <f t="shared" si="4"/>
        <v>Low</v>
      </c>
      <c r="S55" s="22" t="s">
        <v>498</v>
      </c>
      <c r="T55" s="23">
        <v>2.0</v>
      </c>
      <c r="U55" s="23">
        <v>1.0</v>
      </c>
      <c r="V55" s="23">
        <v>2.0</v>
      </c>
      <c r="W55" s="23">
        <v>2.0</v>
      </c>
      <c r="X55" s="23">
        <v>2.0</v>
      </c>
      <c r="Y55" s="32">
        <f t="shared" si="5"/>
        <v>9</v>
      </c>
      <c r="Z55" s="32" t="str">
        <f t="shared" si="6"/>
        <v>Low</v>
      </c>
      <c r="AA55" s="23" t="s">
        <v>499</v>
      </c>
      <c r="AB55" s="24">
        <v>2.0</v>
      </c>
      <c r="AC55" s="24">
        <v>2.0</v>
      </c>
      <c r="AD55" s="24">
        <v>1.0</v>
      </c>
      <c r="AE55" s="24">
        <v>0.0</v>
      </c>
      <c r="AF55" s="24">
        <v>2.0</v>
      </c>
      <c r="AG55" s="33">
        <f t="shared" si="7"/>
        <v>7</v>
      </c>
      <c r="AH55" s="33" t="str">
        <f t="shared" si="8"/>
        <v>Moderate</v>
      </c>
      <c r="AI55" s="24" t="s">
        <v>500</v>
      </c>
      <c r="AJ55" s="25">
        <v>2.0</v>
      </c>
      <c r="AK55" s="25">
        <v>2.0</v>
      </c>
      <c r="AL55" s="25">
        <v>2.0</v>
      </c>
      <c r="AM55" s="25">
        <v>2.0</v>
      </c>
      <c r="AN55" s="25">
        <v>2.0</v>
      </c>
      <c r="AO55" s="34">
        <f t="shared" si="9"/>
        <v>10</v>
      </c>
      <c r="AP55" s="34" t="str">
        <f t="shared" si="10"/>
        <v>Low</v>
      </c>
      <c r="AQ55" s="25" t="s">
        <v>501</v>
      </c>
      <c r="AR55" s="26">
        <v>1.0</v>
      </c>
      <c r="AS55" s="26">
        <v>0.0</v>
      </c>
      <c r="AT55" s="26">
        <v>-1.0</v>
      </c>
      <c r="AU55" s="26">
        <v>0.0</v>
      </c>
      <c r="AV55" s="26">
        <v>0.0</v>
      </c>
      <c r="AW55" s="35">
        <f t="shared" si="11"/>
        <v>0</v>
      </c>
      <c r="AX55" s="35" t="str">
        <f t="shared" si="12"/>
        <v>Serious</v>
      </c>
      <c r="AY55" s="26" t="s">
        <v>502</v>
      </c>
      <c r="AZ55" s="27">
        <v>2.0</v>
      </c>
      <c r="BA55" s="27">
        <v>2.0</v>
      </c>
      <c r="BB55" s="27">
        <v>2.0</v>
      </c>
      <c r="BC55" s="27">
        <v>0.0</v>
      </c>
      <c r="BD55" s="27">
        <v>2.0</v>
      </c>
      <c r="BE55" s="36">
        <f t="shared" si="13"/>
        <v>8</v>
      </c>
      <c r="BF55" s="36" t="str">
        <f t="shared" si="14"/>
        <v>Low</v>
      </c>
      <c r="BG55" s="27" t="s">
        <v>503</v>
      </c>
      <c r="BH55" s="37">
        <f t="shared" si="15"/>
        <v>52</v>
      </c>
      <c r="BI55" s="37" t="str">
        <f t="shared" si="16"/>
        <v>Moderate</v>
      </c>
      <c r="BJ55" s="29" t="b">
        <v>0</v>
      </c>
    </row>
    <row r="56">
      <c r="A56" s="28">
        <v>54.0</v>
      </c>
      <c r="B56" s="29" t="s">
        <v>504</v>
      </c>
      <c r="C56" s="38"/>
      <c r="D56" s="21">
        <v>2.0</v>
      </c>
      <c r="E56" s="21">
        <v>2.0</v>
      </c>
      <c r="F56" s="21">
        <v>1.0</v>
      </c>
      <c r="G56" s="21">
        <v>2.0</v>
      </c>
      <c r="H56" s="21">
        <v>1.0</v>
      </c>
      <c r="I56" s="30">
        <f t="shared" si="1"/>
        <v>8</v>
      </c>
      <c r="J56" s="30" t="str">
        <f t="shared" si="2"/>
        <v>Low</v>
      </c>
      <c r="K56" s="21" t="s">
        <v>505</v>
      </c>
      <c r="L56" s="22">
        <v>2.0</v>
      </c>
      <c r="M56" s="22">
        <v>2.0</v>
      </c>
      <c r="N56" s="22">
        <v>0.0</v>
      </c>
      <c r="O56" s="22">
        <v>1.0</v>
      </c>
      <c r="P56" s="22">
        <v>2.0</v>
      </c>
      <c r="Q56" s="31">
        <f t="shared" si="3"/>
        <v>7</v>
      </c>
      <c r="R56" s="31" t="str">
        <f t="shared" si="4"/>
        <v>Moderate</v>
      </c>
      <c r="S56" s="22" t="s">
        <v>506</v>
      </c>
      <c r="T56" s="23">
        <v>2.0</v>
      </c>
      <c r="U56" s="23">
        <v>0.0</v>
      </c>
      <c r="V56" s="23">
        <v>2.0</v>
      </c>
      <c r="W56" s="23">
        <v>2.0</v>
      </c>
      <c r="X56" s="23">
        <v>2.0</v>
      </c>
      <c r="Y56" s="32">
        <f t="shared" si="5"/>
        <v>8</v>
      </c>
      <c r="Z56" s="32" t="str">
        <f t="shared" si="6"/>
        <v>Low</v>
      </c>
      <c r="AA56" s="23" t="s">
        <v>507</v>
      </c>
      <c r="AB56" s="24">
        <v>2.0</v>
      </c>
      <c r="AC56" s="24">
        <v>2.0</v>
      </c>
      <c r="AD56" s="24">
        <v>0.0</v>
      </c>
      <c r="AE56" s="24">
        <v>0.0</v>
      </c>
      <c r="AF56" s="24">
        <v>2.0</v>
      </c>
      <c r="AG56" s="33">
        <f t="shared" si="7"/>
        <v>6</v>
      </c>
      <c r="AH56" s="33" t="str">
        <f t="shared" si="8"/>
        <v>Moderate</v>
      </c>
      <c r="AI56" s="24" t="s">
        <v>508</v>
      </c>
      <c r="AJ56" s="25">
        <v>2.0</v>
      </c>
      <c r="AK56" s="25">
        <v>2.0</v>
      </c>
      <c r="AL56" s="25">
        <v>2.0</v>
      </c>
      <c r="AM56" s="25">
        <v>2.0</v>
      </c>
      <c r="AN56" s="25">
        <v>2.0</v>
      </c>
      <c r="AO56" s="34">
        <f t="shared" si="9"/>
        <v>10</v>
      </c>
      <c r="AP56" s="34" t="str">
        <f t="shared" si="10"/>
        <v>Low</v>
      </c>
      <c r="AQ56" s="25" t="s">
        <v>509</v>
      </c>
      <c r="AR56" s="26">
        <v>1.0</v>
      </c>
      <c r="AS56" s="26">
        <v>0.0</v>
      </c>
      <c r="AT56" s="26">
        <v>-1.0</v>
      </c>
      <c r="AU56" s="26">
        <v>0.0</v>
      </c>
      <c r="AV56" s="26">
        <v>1.0</v>
      </c>
      <c r="AW56" s="35">
        <f t="shared" si="11"/>
        <v>1</v>
      </c>
      <c r="AX56" s="35" t="str">
        <f t="shared" si="12"/>
        <v>Serious</v>
      </c>
      <c r="AY56" s="26" t="s">
        <v>510</v>
      </c>
      <c r="AZ56" s="27">
        <v>2.0</v>
      </c>
      <c r="BA56" s="27">
        <v>2.0</v>
      </c>
      <c r="BB56" s="27">
        <v>2.0</v>
      </c>
      <c r="BC56" s="27">
        <v>0.0</v>
      </c>
      <c r="BD56" s="27">
        <v>2.0</v>
      </c>
      <c r="BE56" s="36">
        <f t="shared" si="13"/>
        <v>8</v>
      </c>
      <c r="BF56" s="36" t="str">
        <f t="shared" si="14"/>
        <v>Low</v>
      </c>
      <c r="BG56" s="27" t="s">
        <v>511</v>
      </c>
      <c r="BH56" s="37">
        <f t="shared" si="15"/>
        <v>48</v>
      </c>
      <c r="BI56" s="37" t="str">
        <f t="shared" si="16"/>
        <v>Moderate</v>
      </c>
      <c r="BJ56" s="29" t="b">
        <v>0</v>
      </c>
    </row>
    <row r="57">
      <c r="A57" s="28">
        <v>55.0</v>
      </c>
      <c r="B57" s="29" t="s">
        <v>512</v>
      </c>
      <c r="C57" s="38"/>
      <c r="D57" s="21">
        <v>2.0</v>
      </c>
      <c r="E57" s="21">
        <v>2.0</v>
      </c>
      <c r="F57" s="21">
        <v>1.0</v>
      </c>
      <c r="G57" s="21">
        <v>2.0</v>
      </c>
      <c r="H57" s="21">
        <v>1.0</v>
      </c>
      <c r="I57" s="30">
        <f t="shared" si="1"/>
        <v>8</v>
      </c>
      <c r="J57" s="30" t="str">
        <f t="shared" si="2"/>
        <v>Low</v>
      </c>
      <c r="K57" s="21" t="s">
        <v>513</v>
      </c>
      <c r="L57" s="22">
        <v>1.0</v>
      </c>
      <c r="M57" s="22">
        <v>2.0</v>
      </c>
      <c r="N57" s="22">
        <v>0.0</v>
      </c>
      <c r="O57" s="22">
        <v>2.0</v>
      </c>
      <c r="P57" s="22">
        <v>2.0</v>
      </c>
      <c r="Q57" s="31">
        <f t="shared" si="3"/>
        <v>7</v>
      </c>
      <c r="R57" s="31" t="str">
        <f t="shared" si="4"/>
        <v>Moderate</v>
      </c>
      <c r="S57" s="22" t="s">
        <v>514</v>
      </c>
      <c r="T57" s="23">
        <v>2.0</v>
      </c>
      <c r="U57" s="23">
        <v>0.0</v>
      </c>
      <c r="V57" s="23">
        <v>2.0</v>
      </c>
      <c r="W57" s="23">
        <v>2.0</v>
      </c>
      <c r="X57" s="23">
        <v>2.0</v>
      </c>
      <c r="Y57" s="32">
        <f t="shared" si="5"/>
        <v>8</v>
      </c>
      <c r="Z57" s="32" t="str">
        <f t="shared" si="6"/>
        <v>Low</v>
      </c>
      <c r="AA57" s="23" t="s">
        <v>515</v>
      </c>
      <c r="AB57" s="24">
        <v>2.0</v>
      </c>
      <c r="AC57" s="24">
        <v>2.0</v>
      </c>
      <c r="AD57" s="24">
        <v>2.0</v>
      </c>
      <c r="AE57" s="24">
        <v>1.0</v>
      </c>
      <c r="AF57" s="24">
        <v>2.0</v>
      </c>
      <c r="AG57" s="33">
        <f t="shared" si="7"/>
        <v>9</v>
      </c>
      <c r="AH57" s="33" t="str">
        <f t="shared" si="8"/>
        <v>Low</v>
      </c>
      <c r="AI57" s="24" t="s">
        <v>516</v>
      </c>
      <c r="AJ57" s="25">
        <v>2.0</v>
      </c>
      <c r="AK57" s="25">
        <v>2.0</v>
      </c>
      <c r="AL57" s="25">
        <v>2.0</v>
      </c>
      <c r="AM57" s="25">
        <v>2.0</v>
      </c>
      <c r="AN57" s="25">
        <v>2.0</v>
      </c>
      <c r="AO57" s="34">
        <f t="shared" si="9"/>
        <v>10</v>
      </c>
      <c r="AP57" s="34" t="str">
        <f t="shared" si="10"/>
        <v>Low</v>
      </c>
      <c r="AQ57" s="25" t="s">
        <v>517</v>
      </c>
      <c r="AR57" s="26">
        <v>1.0</v>
      </c>
      <c r="AS57" s="26">
        <v>0.0</v>
      </c>
      <c r="AT57" s="26">
        <v>-1.0</v>
      </c>
      <c r="AU57" s="26">
        <v>0.0</v>
      </c>
      <c r="AV57" s="26">
        <v>2.0</v>
      </c>
      <c r="AW57" s="35">
        <f t="shared" si="11"/>
        <v>2</v>
      </c>
      <c r="AX57" s="35" t="str">
        <f t="shared" si="12"/>
        <v>Serious</v>
      </c>
      <c r="AY57" s="26" t="s">
        <v>518</v>
      </c>
      <c r="AZ57" s="27">
        <v>2.0</v>
      </c>
      <c r="BA57" s="27">
        <v>2.0</v>
      </c>
      <c r="BB57" s="27">
        <v>2.0</v>
      </c>
      <c r="BC57" s="27">
        <v>0.0</v>
      </c>
      <c r="BD57" s="27">
        <v>2.0</v>
      </c>
      <c r="BE57" s="36">
        <f t="shared" si="13"/>
        <v>8</v>
      </c>
      <c r="BF57" s="36" t="str">
        <f t="shared" si="14"/>
        <v>Low</v>
      </c>
      <c r="BG57" s="27" t="s">
        <v>519</v>
      </c>
      <c r="BH57" s="37">
        <f t="shared" si="15"/>
        <v>52</v>
      </c>
      <c r="BI57" s="37" t="str">
        <f t="shared" si="16"/>
        <v>Moderate</v>
      </c>
      <c r="BJ57" s="29" t="b">
        <v>0</v>
      </c>
    </row>
    <row r="58">
      <c r="A58" s="28">
        <v>56.0</v>
      </c>
      <c r="B58" s="29" t="s">
        <v>520</v>
      </c>
      <c r="C58" s="29">
        <v>2020.0</v>
      </c>
      <c r="D58" s="21">
        <v>2.0</v>
      </c>
      <c r="E58" s="21">
        <v>1.0</v>
      </c>
      <c r="F58" s="21">
        <v>2.0</v>
      </c>
      <c r="G58" s="21">
        <v>2.0</v>
      </c>
      <c r="H58" s="21">
        <v>1.0</v>
      </c>
      <c r="I58" s="30">
        <v>8.0</v>
      </c>
      <c r="J58" s="30" t="s">
        <v>521</v>
      </c>
      <c r="K58" s="21" t="s">
        <v>522</v>
      </c>
      <c r="L58" s="22">
        <v>1.0</v>
      </c>
      <c r="M58" s="22">
        <v>0.0</v>
      </c>
      <c r="N58" s="22">
        <v>1.0</v>
      </c>
      <c r="O58" s="22">
        <v>0.0</v>
      </c>
      <c r="P58" s="22">
        <v>1.0</v>
      </c>
      <c r="Q58" s="31">
        <v>3.0</v>
      </c>
      <c r="R58" s="31" t="s">
        <v>523</v>
      </c>
      <c r="S58" s="22" t="s">
        <v>524</v>
      </c>
      <c r="T58" s="23">
        <v>2.0</v>
      </c>
      <c r="U58" s="23">
        <v>0.0</v>
      </c>
      <c r="V58" s="23">
        <v>2.0</v>
      </c>
      <c r="W58" s="23">
        <v>2.0</v>
      </c>
      <c r="X58" s="23">
        <v>2.0</v>
      </c>
      <c r="Y58" s="32">
        <v>8.0</v>
      </c>
      <c r="Z58" s="32" t="s">
        <v>521</v>
      </c>
      <c r="AA58" s="23" t="s">
        <v>525</v>
      </c>
      <c r="AB58" s="24">
        <v>2.0</v>
      </c>
      <c r="AC58" s="24">
        <v>0.0</v>
      </c>
      <c r="AD58" s="24">
        <v>1.0</v>
      </c>
      <c r="AE58" s="24">
        <v>0.0</v>
      </c>
      <c r="AF58" s="24">
        <v>2.0</v>
      </c>
      <c r="AG58" s="33">
        <v>5.0</v>
      </c>
      <c r="AH58" s="33" t="s">
        <v>526</v>
      </c>
      <c r="AI58" s="24" t="s">
        <v>527</v>
      </c>
      <c r="AJ58" s="25">
        <v>1.0</v>
      </c>
      <c r="AK58" s="25">
        <v>0.0</v>
      </c>
      <c r="AL58" s="25">
        <v>0.0</v>
      </c>
      <c r="AM58" s="25">
        <v>2.0</v>
      </c>
      <c r="AN58" s="25">
        <v>0.0</v>
      </c>
      <c r="AO58" s="34">
        <v>3.0</v>
      </c>
      <c r="AP58" s="34" t="s">
        <v>523</v>
      </c>
      <c r="AQ58" s="25" t="s">
        <v>528</v>
      </c>
      <c r="AR58" s="26">
        <v>1.0</v>
      </c>
      <c r="AS58" s="26">
        <v>0.0</v>
      </c>
      <c r="AT58" s="26">
        <v>-2.0</v>
      </c>
      <c r="AU58" s="26">
        <v>1.0</v>
      </c>
      <c r="AV58" s="26">
        <v>0.0</v>
      </c>
      <c r="AW58" s="35">
        <v>0.0</v>
      </c>
      <c r="AX58" s="35" t="s">
        <v>523</v>
      </c>
      <c r="AY58" s="26" t="s">
        <v>529</v>
      </c>
      <c r="AZ58" s="27">
        <v>1.0</v>
      </c>
      <c r="BA58" s="27">
        <v>-1.0</v>
      </c>
      <c r="BB58" s="27">
        <v>1.0</v>
      </c>
      <c r="BC58" s="27">
        <v>-2.0</v>
      </c>
      <c r="BD58" s="27">
        <v>2.0</v>
      </c>
      <c r="BE58" s="36">
        <v>1.0</v>
      </c>
      <c r="BF58" s="36" t="s">
        <v>523</v>
      </c>
      <c r="BG58" s="27" t="s">
        <v>530</v>
      </c>
      <c r="BH58" s="37">
        <v>28.0</v>
      </c>
      <c r="BI58" s="37" t="s">
        <v>523</v>
      </c>
      <c r="BJ58" s="29" t="b">
        <v>1</v>
      </c>
    </row>
    <row r="59">
      <c r="A59" s="28">
        <v>57.0</v>
      </c>
      <c r="B59" s="29" t="s">
        <v>531</v>
      </c>
      <c r="C59" s="38"/>
      <c r="D59" s="21">
        <v>2.0</v>
      </c>
      <c r="E59" s="21">
        <v>2.0</v>
      </c>
      <c r="F59" s="21">
        <v>1.0</v>
      </c>
      <c r="G59" s="21">
        <v>2.0</v>
      </c>
      <c r="H59" s="21">
        <v>1.0</v>
      </c>
      <c r="I59" s="30">
        <f t="shared" ref="I59:I67" si="17">SUM(D59:H59)</f>
        <v>8</v>
      </c>
      <c r="J59" s="30" t="str">
        <f t="shared" ref="J59:J67" si="18">IF(I59&gt;=8,"Low",IF(I59&gt;=4,"Moderate",IF(I59&gt;=0,"Serious","Critical")))</f>
        <v>Low</v>
      </c>
      <c r="K59" s="21" t="s">
        <v>532</v>
      </c>
      <c r="L59" s="22">
        <v>1.0</v>
      </c>
      <c r="M59" s="22">
        <v>2.0</v>
      </c>
      <c r="N59" s="22">
        <v>0.0</v>
      </c>
      <c r="O59" s="22">
        <v>2.0</v>
      </c>
      <c r="P59" s="22">
        <v>2.0</v>
      </c>
      <c r="Q59" s="31">
        <f t="shared" ref="Q59:Q67" si="19">SUM(L59:P59)</f>
        <v>7</v>
      </c>
      <c r="R59" s="31" t="str">
        <f t="shared" ref="R59:R67" si="20">IF(Q59&gt;=8,"Low",IF(Q59&gt;=4,"Moderate",IF(Q59&gt;=0,"Serious","Critical")))</f>
        <v>Moderate</v>
      </c>
      <c r="S59" s="22" t="s">
        <v>533</v>
      </c>
      <c r="T59" s="23">
        <v>2.0</v>
      </c>
      <c r="U59" s="23">
        <v>2.0</v>
      </c>
      <c r="V59" s="23">
        <v>2.0</v>
      </c>
      <c r="W59" s="23">
        <v>2.0</v>
      </c>
      <c r="X59" s="23">
        <v>2.0</v>
      </c>
      <c r="Y59" s="32">
        <f t="shared" ref="Y59:Y67" si="21">SUM(T59:X59)</f>
        <v>10</v>
      </c>
      <c r="Z59" s="32" t="str">
        <f t="shared" ref="Z59:Z67" si="22">IF(Y59&gt;=8,"Low",IF(Y59&gt;=4,"Moderate",IF(Y59&gt;=0,"Serious","Critical")))</f>
        <v>Low</v>
      </c>
      <c r="AA59" s="23" t="s">
        <v>534</v>
      </c>
      <c r="AB59" s="24">
        <v>2.0</v>
      </c>
      <c r="AC59" s="24">
        <v>2.0</v>
      </c>
      <c r="AD59" s="24">
        <v>0.0</v>
      </c>
      <c r="AE59" s="24">
        <v>0.0</v>
      </c>
      <c r="AF59" s="24">
        <v>2.0</v>
      </c>
      <c r="AG59" s="33">
        <f t="shared" ref="AG59:AG67" si="23">SUM(AB59:AF59)</f>
        <v>6</v>
      </c>
      <c r="AH59" s="33" t="str">
        <f t="shared" ref="AH59:AH67" si="24">IF(AG59&gt;=8,"Low",IF(AG59&gt;=4,"Moderate",IF(AG59&gt;=0,"Serious","Critical")))</f>
        <v>Moderate</v>
      </c>
      <c r="AI59" s="24" t="s">
        <v>535</v>
      </c>
      <c r="AJ59" s="25">
        <v>2.0</v>
      </c>
      <c r="AK59" s="25">
        <v>2.0</v>
      </c>
      <c r="AL59" s="25">
        <v>2.0</v>
      </c>
      <c r="AM59" s="25">
        <v>2.0</v>
      </c>
      <c r="AN59" s="25">
        <v>2.0</v>
      </c>
      <c r="AO59" s="34">
        <f t="shared" ref="AO59:AO67" si="25">SUM(AJ59:AN59)</f>
        <v>10</v>
      </c>
      <c r="AP59" s="34" t="str">
        <f t="shared" ref="AP59:AP67" si="26">IF(AO59&gt;=8,"Low",IF(AO59&gt;=4,"Moderate",IF(AO59&gt;=0,"Serious","Critical")))</f>
        <v>Low</v>
      </c>
      <c r="AQ59" s="25" t="s">
        <v>536</v>
      </c>
      <c r="AR59" s="26">
        <v>1.0</v>
      </c>
      <c r="AS59" s="26">
        <v>2.0</v>
      </c>
      <c r="AT59" s="26">
        <v>0.0</v>
      </c>
      <c r="AU59" s="26">
        <v>1.0</v>
      </c>
      <c r="AV59" s="26">
        <v>1.0</v>
      </c>
      <c r="AW59" s="35">
        <f t="shared" ref="AW59:AW67" si="27">sum(AR59:AV59)</f>
        <v>5</v>
      </c>
      <c r="AX59" s="35" t="str">
        <f t="shared" ref="AX59:AX67" si="28">IF(AW59&gt;=8,"Low",IF(AW59&gt;=4,"Moderate",IF(AW59&gt;=0,"Serious","Critical")))</f>
        <v>Moderate</v>
      </c>
      <c r="AY59" s="26" t="s">
        <v>537</v>
      </c>
      <c r="AZ59" s="27">
        <v>2.0</v>
      </c>
      <c r="BA59" s="27">
        <v>2.0</v>
      </c>
      <c r="BB59" s="27">
        <v>2.0</v>
      </c>
      <c r="BC59" s="27">
        <v>2.0</v>
      </c>
      <c r="BD59" s="27">
        <v>2.0</v>
      </c>
      <c r="BE59" s="36">
        <f t="shared" ref="BE59:BE67" si="29">sum(AZ59:BD59)</f>
        <v>10</v>
      </c>
      <c r="BF59" s="36" t="str">
        <f t="shared" ref="BF59:BF67" si="30">IF(BE59&gt;=8,"Low",IF(BE59&gt;=4,"Moderate",IF(BE59&gt;=0,"Serious","Critical")))</f>
        <v>Low</v>
      </c>
      <c r="BG59" s="27" t="s">
        <v>538</v>
      </c>
      <c r="BH59" s="37">
        <f t="shared" ref="BH59:BH67" si="31">SUM(I59,Q59,Y59,AG59,AO59,AW59,BE59)</f>
        <v>56</v>
      </c>
      <c r="BI59" s="37" t="str">
        <f t="shared" ref="BI59:BI67" si="32">IF(BH59&gt;=56,"Low",IF(BH59&gt;=35,"Moderate",IF(BH59&gt;=14,"Serious","Critical")))</f>
        <v>Low</v>
      </c>
      <c r="BJ59" s="29" t="b">
        <v>0</v>
      </c>
    </row>
    <row r="60">
      <c r="A60" s="28">
        <v>58.0</v>
      </c>
      <c r="B60" s="29" t="s">
        <v>539</v>
      </c>
      <c r="C60" s="29">
        <v>2022.0</v>
      </c>
      <c r="D60" s="21">
        <v>2.0</v>
      </c>
      <c r="E60" s="21">
        <v>1.0</v>
      </c>
      <c r="F60" s="21">
        <v>1.0</v>
      </c>
      <c r="G60" s="21">
        <v>2.0</v>
      </c>
      <c r="H60" s="21">
        <v>2.0</v>
      </c>
      <c r="I60" s="30">
        <f t="shared" si="17"/>
        <v>8</v>
      </c>
      <c r="J60" s="30" t="str">
        <f t="shared" si="18"/>
        <v>Low</v>
      </c>
      <c r="K60" s="21" t="s">
        <v>540</v>
      </c>
      <c r="L60" s="22">
        <v>2.0</v>
      </c>
      <c r="M60" s="22">
        <v>2.0</v>
      </c>
      <c r="N60" s="22">
        <v>2.0</v>
      </c>
      <c r="O60" s="22">
        <v>2.0</v>
      </c>
      <c r="P60" s="22">
        <v>2.0</v>
      </c>
      <c r="Q60" s="31">
        <f t="shared" si="19"/>
        <v>10</v>
      </c>
      <c r="R60" s="31" t="str">
        <f t="shared" si="20"/>
        <v>Low</v>
      </c>
      <c r="S60" s="22" t="s">
        <v>541</v>
      </c>
      <c r="T60" s="23">
        <v>2.0</v>
      </c>
      <c r="U60" s="23">
        <v>2.0</v>
      </c>
      <c r="V60" s="23">
        <v>2.0</v>
      </c>
      <c r="W60" s="23">
        <v>2.0</v>
      </c>
      <c r="X60" s="23">
        <v>2.0</v>
      </c>
      <c r="Y60" s="32">
        <f t="shared" si="21"/>
        <v>10</v>
      </c>
      <c r="Z60" s="32" t="str">
        <f t="shared" si="22"/>
        <v>Low</v>
      </c>
      <c r="AA60" s="23" t="s">
        <v>542</v>
      </c>
      <c r="AB60" s="24">
        <v>2.0</v>
      </c>
      <c r="AC60" s="24">
        <v>2.0</v>
      </c>
      <c r="AD60" s="24">
        <v>2.0</v>
      </c>
      <c r="AE60" s="24">
        <v>2.0</v>
      </c>
      <c r="AF60" s="24">
        <v>2.0</v>
      </c>
      <c r="AG60" s="33">
        <f t="shared" si="23"/>
        <v>10</v>
      </c>
      <c r="AH60" s="33" t="str">
        <f t="shared" si="24"/>
        <v>Low</v>
      </c>
      <c r="AI60" s="24" t="s">
        <v>543</v>
      </c>
      <c r="AJ60" s="25">
        <v>2.0</v>
      </c>
      <c r="AK60" s="25">
        <v>2.0</v>
      </c>
      <c r="AL60" s="25">
        <v>2.0</v>
      </c>
      <c r="AM60" s="25">
        <v>2.0</v>
      </c>
      <c r="AN60" s="25">
        <v>2.0</v>
      </c>
      <c r="AO60" s="34">
        <f t="shared" si="25"/>
        <v>10</v>
      </c>
      <c r="AP60" s="34" t="str">
        <f t="shared" si="26"/>
        <v>Low</v>
      </c>
      <c r="AQ60" s="25" t="s">
        <v>544</v>
      </c>
      <c r="AR60" s="26">
        <v>1.0</v>
      </c>
      <c r="AS60" s="26">
        <v>0.0</v>
      </c>
      <c r="AT60" s="26">
        <v>-1.0</v>
      </c>
      <c r="AU60" s="26">
        <v>2.0</v>
      </c>
      <c r="AV60" s="26">
        <v>0.0</v>
      </c>
      <c r="AW60" s="35">
        <f t="shared" si="27"/>
        <v>2</v>
      </c>
      <c r="AX60" s="35" t="str">
        <f t="shared" si="28"/>
        <v>Serious</v>
      </c>
      <c r="AY60" s="26" t="s">
        <v>545</v>
      </c>
      <c r="AZ60" s="27">
        <v>2.0</v>
      </c>
      <c r="BA60" s="27">
        <v>2.0</v>
      </c>
      <c r="BB60" s="27">
        <v>1.0</v>
      </c>
      <c r="BC60" s="27">
        <v>2.0</v>
      </c>
      <c r="BD60" s="27">
        <v>2.0</v>
      </c>
      <c r="BE60" s="36">
        <f t="shared" si="29"/>
        <v>9</v>
      </c>
      <c r="BF60" s="36" t="str">
        <f t="shared" si="30"/>
        <v>Low</v>
      </c>
      <c r="BG60" s="27" t="s">
        <v>546</v>
      </c>
      <c r="BH60" s="37">
        <f t="shared" si="31"/>
        <v>59</v>
      </c>
      <c r="BI60" s="37" t="str">
        <f t="shared" si="32"/>
        <v>Low</v>
      </c>
      <c r="BJ60" s="29" t="b">
        <v>0</v>
      </c>
    </row>
    <row r="61">
      <c r="A61" s="28">
        <v>59.0</v>
      </c>
      <c r="B61" s="29" t="s">
        <v>547</v>
      </c>
      <c r="C61" s="38"/>
      <c r="D61" s="21">
        <v>2.0</v>
      </c>
      <c r="E61" s="21">
        <v>2.0</v>
      </c>
      <c r="F61" s="21">
        <v>2.0</v>
      </c>
      <c r="G61" s="21">
        <v>2.0</v>
      </c>
      <c r="H61" s="21">
        <v>2.0</v>
      </c>
      <c r="I61" s="30">
        <f t="shared" si="17"/>
        <v>10</v>
      </c>
      <c r="J61" s="30" t="str">
        <f t="shared" si="18"/>
        <v>Low</v>
      </c>
      <c r="K61" s="21" t="s">
        <v>548</v>
      </c>
      <c r="L61" s="22">
        <v>2.0</v>
      </c>
      <c r="M61" s="22">
        <v>2.0</v>
      </c>
      <c r="N61" s="22">
        <v>2.0</v>
      </c>
      <c r="O61" s="22">
        <v>2.0</v>
      </c>
      <c r="P61" s="22">
        <v>2.0</v>
      </c>
      <c r="Q61" s="31">
        <f t="shared" si="19"/>
        <v>10</v>
      </c>
      <c r="R61" s="31" t="str">
        <f t="shared" si="20"/>
        <v>Low</v>
      </c>
      <c r="S61" s="22" t="s">
        <v>549</v>
      </c>
      <c r="T61" s="23">
        <v>2.0</v>
      </c>
      <c r="U61" s="23">
        <v>1.0</v>
      </c>
      <c r="V61" s="23">
        <v>2.0</v>
      </c>
      <c r="W61" s="23">
        <v>2.0</v>
      </c>
      <c r="X61" s="23">
        <v>2.0</v>
      </c>
      <c r="Y61" s="32">
        <f t="shared" si="21"/>
        <v>9</v>
      </c>
      <c r="Z61" s="32" t="str">
        <f t="shared" si="22"/>
        <v>Low</v>
      </c>
      <c r="AA61" s="23" t="s">
        <v>550</v>
      </c>
      <c r="AB61" s="24">
        <v>2.0</v>
      </c>
      <c r="AC61" s="24">
        <v>2.0</v>
      </c>
      <c r="AD61" s="24">
        <v>2.0</v>
      </c>
      <c r="AE61" s="24">
        <v>0.0</v>
      </c>
      <c r="AF61" s="24">
        <v>2.0</v>
      </c>
      <c r="AG61" s="33">
        <f t="shared" si="23"/>
        <v>8</v>
      </c>
      <c r="AH61" s="33" t="str">
        <f t="shared" si="24"/>
        <v>Low</v>
      </c>
      <c r="AI61" s="24" t="s">
        <v>551</v>
      </c>
      <c r="AJ61" s="25">
        <v>2.0</v>
      </c>
      <c r="AK61" s="25">
        <v>2.0</v>
      </c>
      <c r="AL61" s="25">
        <v>2.0</v>
      </c>
      <c r="AM61" s="25">
        <v>2.0</v>
      </c>
      <c r="AN61" s="25">
        <v>2.0</v>
      </c>
      <c r="AO61" s="34">
        <f t="shared" si="25"/>
        <v>10</v>
      </c>
      <c r="AP61" s="34" t="str">
        <f t="shared" si="26"/>
        <v>Low</v>
      </c>
      <c r="AQ61" s="25" t="s">
        <v>552</v>
      </c>
      <c r="AR61" s="26">
        <v>1.0</v>
      </c>
      <c r="AS61" s="26">
        <v>0.0</v>
      </c>
      <c r="AT61" s="26">
        <v>0.0</v>
      </c>
      <c r="AU61" s="26">
        <v>0.0</v>
      </c>
      <c r="AV61" s="26">
        <v>2.0</v>
      </c>
      <c r="AW61" s="35">
        <f t="shared" si="27"/>
        <v>3</v>
      </c>
      <c r="AX61" s="35" t="str">
        <f t="shared" si="28"/>
        <v>Serious</v>
      </c>
      <c r="AY61" s="26" t="s">
        <v>553</v>
      </c>
      <c r="AZ61" s="27">
        <v>2.0</v>
      </c>
      <c r="BA61" s="27">
        <v>2.0</v>
      </c>
      <c r="BB61" s="27">
        <v>2.0</v>
      </c>
      <c r="BC61" s="27">
        <v>1.0</v>
      </c>
      <c r="BD61" s="27">
        <v>2.0</v>
      </c>
      <c r="BE61" s="36">
        <f t="shared" si="29"/>
        <v>9</v>
      </c>
      <c r="BF61" s="36" t="str">
        <f t="shared" si="30"/>
        <v>Low</v>
      </c>
      <c r="BG61" s="27" t="s">
        <v>554</v>
      </c>
      <c r="BH61" s="37">
        <f t="shared" si="31"/>
        <v>59</v>
      </c>
      <c r="BI61" s="37" t="str">
        <f t="shared" si="32"/>
        <v>Low</v>
      </c>
      <c r="BJ61" s="29" t="b">
        <v>0</v>
      </c>
    </row>
    <row r="62">
      <c r="A62" s="28">
        <v>60.0</v>
      </c>
      <c r="B62" s="29" t="s">
        <v>555</v>
      </c>
      <c r="C62" s="29">
        <v>2024.0</v>
      </c>
      <c r="D62" s="21">
        <v>2.0</v>
      </c>
      <c r="E62" s="21">
        <v>2.0</v>
      </c>
      <c r="F62" s="21">
        <v>1.0</v>
      </c>
      <c r="G62" s="21">
        <v>2.0</v>
      </c>
      <c r="H62" s="21">
        <v>2.0</v>
      </c>
      <c r="I62" s="30">
        <f t="shared" si="17"/>
        <v>9</v>
      </c>
      <c r="J62" s="30" t="str">
        <f t="shared" si="18"/>
        <v>Low</v>
      </c>
      <c r="K62" s="21" t="s">
        <v>556</v>
      </c>
      <c r="L62" s="22">
        <v>2.0</v>
      </c>
      <c r="M62" s="22">
        <v>2.0</v>
      </c>
      <c r="N62" s="22">
        <v>0.0</v>
      </c>
      <c r="O62" s="22">
        <v>2.0</v>
      </c>
      <c r="P62" s="22">
        <v>2.0</v>
      </c>
      <c r="Q62" s="31">
        <f t="shared" si="19"/>
        <v>8</v>
      </c>
      <c r="R62" s="31" t="str">
        <f t="shared" si="20"/>
        <v>Low</v>
      </c>
      <c r="S62" s="22" t="s">
        <v>557</v>
      </c>
      <c r="T62" s="23">
        <v>2.0</v>
      </c>
      <c r="U62" s="23">
        <v>2.0</v>
      </c>
      <c r="V62" s="23">
        <v>2.0</v>
      </c>
      <c r="W62" s="23">
        <v>2.0</v>
      </c>
      <c r="X62" s="23">
        <v>2.0</v>
      </c>
      <c r="Y62" s="32">
        <f t="shared" si="21"/>
        <v>10</v>
      </c>
      <c r="Z62" s="32" t="str">
        <f t="shared" si="22"/>
        <v>Low</v>
      </c>
      <c r="AA62" s="23" t="s">
        <v>558</v>
      </c>
      <c r="AB62" s="24">
        <v>2.0</v>
      </c>
      <c r="AC62" s="24">
        <v>2.0</v>
      </c>
      <c r="AD62" s="24">
        <v>2.0</v>
      </c>
      <c r="AE62" s="24">
        <v>2.0</v>
      </c>
      <c r="AF62" s="24">
        <v>2.0</v>
      </c>
      <c r="AG62" s="33">
        <f t="shared" si="23"/>
        <v>10</v>
      </c>
      <c r="AH62" s="33" t="str">
        <f t="shared" si="24"/>
        <v>Low</v>
      </c>
      <c r="AI62" s="24" t="s">
        <v>559</v>
      </c>
      <c r="AJ62" s="25">
        <v>2.0</v>
      </c>
      <c r="AK62" s="25">
        <v>2.0</v>
      </c>
      <c r="AL62" s="25">
        <v>2.0</v>
      </c>
      <c r="AM62" s="25">
        <v>2.0</v>
      </c>
      <c r="AN62" s="25">
        <v>2.0</v>
      </c>
      <c r="AO62" s="34">
        <f t="shared" si="25"/>
        <v>10</v>
      </c>
      <c r="AP62" s="34" t="str">
        <f t="shared" si="26"/>
        <v>Low</v>
      </c>
      <c r="AQ62" s="25" t="s">
        <v>560</v>
      </c>
      <c r="AR62" s="26">
        <v>1.0</v>
      </c>
      <c r="AS62" s="26">
        <v>1.0</v>
      </c>
      <c r="AT62" s="26">
        <v>-1.0</v>
      </c>
      <c r="AU62" s="26">
        <v>2.0</v>
      </c>
      <c r="AV62" s="26">
        <v>0.0</v>
      </c>
      <c r="AW62" s="35">
        <f t="shared" si="27"/>
        <v>3</v>
      </c>
      <c r="AX62" s="35" t="str">
        <f t="shared" si="28"/>
        <v>Serious</v>
      </c>
      <c r="AY62" s="26" t="s">
        <v>561</v>
      </c>
      <c r="AZ62" s="27">
        <v>2.0</v>
      </c>
      <c r="BA62" s="27">
        <v>2.0</v>
      </c>
      <c r="BB62" s="27">
        <v>2.0</v>
      </c>
      <c r="BC62" s="27">
        <v>2.0</v>
      </c>
      <c r="BD62" s="27">
        <v>2.0</v>
      </c>
      <c r="BE62" s="36">
        <f t="shared" si="29"/>
        <v>10</v>
      </c>
      <c r="BF62" s="36" t="str">
        <f t="shared" si="30"/>
        <v>Low</v>
      </c>
      <c r="BG62" s="27" t="s">
        <v>562</v>
      </c>
      <c r="BH62" s="37">
        <f t="shared" si="31"/>
        <v>60</v>
      </c>
      <c r="BI62" s="37" t="str">
        <f t="shared" si="32"/>
        <v>Low</v>
      </c>
      <c r="BJ62" s="29" t="b">
        <v>0</v>
      </c>
    </row>
    <row r="63">
      <c r="A63" s="28">
        <v>61.0</v>
      </c>
      <c r="B63" s="29" t="s">
        <v>563</v>
      </c>
      <c r="C63" s="38"/>
      <c r="D63" s="21">
        <v>2.0</v>
      </c>
      <c r="E63" s="21">
        <v>2.0</v>
      </c>
      <c r="F63" s="21">
        <v>1.0</v>
      </c>
      <c r="G63" s="21">
        <v>2.0</v>
      </c>
      <c r="H63" s="21">
        <v>2.0</v>
      </c>
      <c r="I63" s="30">
        <f t="shared" si="17"/>
        <v>9</v>
      </c>
      <c r="J63" s="30" t="str">
        <f t="shared" si="18"/>
        <v>Low</v>
      </c>
      <c r="K63" s="21" t="s">
        <v>564</v>
      </c>
      <c r="L63" s="22">
        <v>1.0</v>
      </c>
      <c r="M63" s="22">
        <v>2.0</v>
      </c>
      <c r="N63" s="22">
        <v>0.0</v>
      </c>
      <c r="O63" s="22">
        <v>2.0</v>
      </c>
      <c r="P63" s="22">
        <v>2.0</v>
      </c>
      <c r="Q63" s="31">
        <f t="shared" si="19"/>
        <v>7</v>
      </c>
      <c r="R63" s="31" t="str">
        <f t="shared" si="20"/>
        <v>Moderate</v>
      </c>
      <c r="S63" s="22" t="s">
        <v>565</v>
      </c>
      <c r="T63" s="23">
        <v>2.0</v>
      </c>
      <c r="U63" s="23">
        <v>0.0</v>
      </c>
      <c r="V63" s="23">
        <v>2.0</v>
      </c>
      <c r="W63" s="23">
        <v>2.0</v>
      </c>
      <c r="X63" s="23">
        <v>2.0</v>
      </c>
      <c r="Y63" s="32">
        <f t="shared" si="21"/>
        <v>8</v>
      </c>
      <c r="Z63" s="32" t="str">
        <f t="shared" si="22"/>
        <v>Low</v>
      </c>
      <c r="AA63" s="23" t="s">
        <v>566</v>
      </c>
      <c r="AB63" s="24">
        <v>2.0</v>
      </c>
      <c r="AC63" s="24">
        <v>2.0</v>
      </c>
      <c r="AD63" s="24">
        <v>2.0</v>
      </c>
      <c r="AE63" s="24">
        <v>0.0</v>
      </c>
      <c r="AF63" s="24">
        <v>2.0</v>
      </c>
      <c r="AG63" s="33">
        <f t="shared" si="23"/>
        <v>8</v>
      </c>
      <c r="AH63" s="33" t="str">
        <f t="shared" si="24"/>
        <v>Low</v>
      </c>
      <c r="AI63" s="24" t="s">
        <v>567</v>
      </c>
      <c r="AJ63" s="25">
        <v>2.0</v>
      </c>
      <c r="AK63" s="25">
        <v>2.0</v>
      </c>
      <c r="AL63" s="25">
        <v>2.0</v>
      </c>
      <c r="AM63" s="25">
        <v>2.0</v>
      </c>
      <c r="AN63" s="25">
        <v>1.0</v>
      </c>
      <c r="AO63" s="34">
        <f t="shared" si="25"/>
        <v>9</v>
      </c>
      <c r="AP63" s="34" t="str">
        <f t="shared" si="26"/>
        <v>Low</v>
      </c>
      <c r="AQ63" s="25" t="s">
        <v>568</v>
      </c>
      <c r="AR63" s="26">
        <v>1.0</v>
      </c>
      <c r="AS63" s="26">
        <v>1.0</v>
      </c>
      <c r="AT63" s="26">
        <v>-1.0</v>
      </c>
      <c r="AU63" s="26">
        <v>0.0</v>
      </c>
      <c r="AV63" s="26">
        <v>1.0</v>
      </c>
      <c r="AW63" s="35">
        <f t="shared" si="27"/>
        <v>2</v>
      </c>
      <c r="AX63" s="35" t="str">
        <f t="shared" si="28"/>
        <v>Serious</v>
      </c>
      <c r="AY63" s="26" t="s">
        <v>569</v>
      </c>
      <c r="AZ63" s="27">
        <v>2.0</v>
      </c>
      <c r="BA63" s="27">
        <v>2.0</v>
      </c>
      <c r="BB63" s="27">
        <v>2.0</v>
      </c>
      <c r="BC63" s="27">
        <v>-1.0</v>
      </c>
      <c r="BD63" s="27">
        <v>2.0</v>
      </c>
      <c r="BE63" s="36">
        <f t="shared" si="29"/>
        <v>7</v>
      </c>
      <c r="BF63" s="36" t="str">
        <f t="shared" si="30"/>
        <v>Moderate</v>
      </c>
      <c r="BG63" s="27" t="s">
        <v>570</v>
      </c>
      <c r="BH63" s="37">
        <f t="shared" si="31"/>
        <v>50</v>
      </c>
      <c r="BI63" s="37" t="str">
        <f t="shared" si="32"/>
        <v>Moderate</v>
      </c>
      <c r="BJ63" s="29" t="b">
        <v>0</v>
      </c>
    </row>
    <row r="64">
      <c r="A64" s="28">
        <v>62.0</v>
      </c>
      <c r="B64" s="29" t="s">
        <v>571</v>
      </c>
      <c r="C64" s="38"/>
      <c r="D64" s="21">
        <v>2.0</v>
      </c>
      <c r="E64" s="21">
        <v>2.0</v>
      </c>
      <c r="F64" s="21">
        <v>1.0</v>
      </c>
      <c r="G64" s="21">
        <v>2.0</v>
      </c>
      <c r="H64" s="21">
        <v>2.0</v>
      </c>
      <c r="I64" s="30">
        <f t="shared" si="17"/>
        <v>9</v>
      </c>
      <c r="J64" s="30" t="str">
        <f t="shared" si="18"/>
        <v>Low</v>
      </c>
      <c r="K64" s="21" t="s">
        <v>572</v>
      </c>
      <c r="L64" s="22">
        <v>2.0</v>
      </c>
      <c r="M64" s="22">
        <v>2.0</v>
      </c>
      <c r="N64" s="22">
        <v>0.0</v>
      </c>
      <c r="O64" s="22">
        <v>2.0</v>
      </c>
      <c r="P64" s="22">
        <v>2.0</v>
      </c>
      <c r="Q64" s="31">
        <f t="shared" si="19"/>
        <v>8</v>
      </c>
      <c r="R64" s="31" t="str">
        <f t="shared" si="20"/>
        <v>Low</v>
      </c>
      <c r="S64" s="22" t="s">
        <v>573</v>
      </c>
      <c r="T64" s="23">
        <v>2.0</v>
      </c>
      <c r="U64" s="23">
        <v>2.0</v>
      </c>
      <c r="V64" s="23">
        <v>2.0</v>
      </c>
      <c r="W64" s="23">
        <v>2.0</v>
      </c>
      <c r="X64" s="23">
        <v>2.0</v>
      </c>
      <c r="Y64" s="32">
        <f t="shared" si="21"/>
        <v>10</v>
      </c>
      <c r="Z64" s="32" t="str">
        <f t="shared" si="22"/>
        <v>Low</v>
      </c>
      <c r="AA64" s="23" t="s">
        <v>574</v>
      </c>
      <c r="AB64" s="24">
        <v>2.0</v>
      </c>
      <c r="AC64" s="24">
        <v>2.0</v>
      </c>
      <c r="AD64" s="24">
        <v>2.0</v>
      </c>
      <c r="AE64" s="24">
        <v>0.0</v>
      </c>
      <c r="AF64" s="24">
        <v>2.0</v>
      </c>
      <c r="AG64" s="33">
        <f t="shared" si="23"/>
        <v>8</v>
      </c>
      <c r="AH64" s="33" t="str">
        <f t="shared" si="24"/>
        <v>Low</v>
      </c>
      <c r="AI64" s="24" t="s">
        <v>575</v>
      </c>
      <c r="AJ64" s="25">
        <v>2.0</v>
      </c>
      <c r="AK64" s="25">
        <v>2.0</v>
      </c>
      <c r="AL64" s="25">
        <v>2.0</v>
      </c>
      <c r="AM64" s="25">
        <v>2.0</v>
      </c>
      <c r="AN64" s="25">
        <v>2.0</v>
      </c>
      <c r="AO64" s="34">
        <f t="shared" si="25"/>
        <v>10</v>
      </c>
      <c r="AP64" s="34" t="str">
        <f t="shared" si="26"/>
        <v>Low</v>
      </c>
      <c r="AQ64" s="25" t="s">
        <v>576</v>
      </c>
      <c r="AR64" s="26">
        <v>1.0</v>
      </c>
      <c r="AS64" s="26">
        <v>2.0</v>
      </c>
      <c r="AT64" s="26">
        <v>0.0</v>
      </c>
      <c r="AU64" s="26">
        <v>1.0</v>
      </c>
      <c r="AV64" s="26">
        <v>1.0</v>
      </c>
      <c r="AW64" s="35">
        <f t="shared" si="27"/>
        <v>5</v>
      </c>
      <c r="AX64" s="35" t="str">
        <f t="shared" si="28"/>
        <v>Moderate</v>
      </c>
      <c r="AY64" s="26" t="s">
        <v>577</v>
      </c>
      <c r="AZ64" s="27">
        <v>2.0</v>
      </c>
      <c r="BA64" s="27">
        <v>2.0</v>
      </c>
      <c r="BB64" s="27">
        <v>2.0</v>
      </c>
      <c r="BC64" s="27">
        <v>2.0</v>
      </c>
      <c r="BD64" s="27">
        <v>2.0</v>
      </c>
      <c r="BE64" s="36">
        <f t="shared" si="29"/>
        <v>10</v>
      </c>
      <c r="BF64" s="36" t="str">
        <f t="shared" si="30"/>
        <v>Low</v>
      </c>
      <c r="BG64" s="27" t="s">
        <v>578</v>
      </c>
      <c r="BH64" s="37">
        <f t="shared" si="31"/>
        <v>60</v>
      </c>
      <c r="BI64" s="37" t="str">
        <f t="shared" si="32"/>
        <v>Low</v>
      </c>
      <c r="BJ64" s="29" t="b">
        <v>0</v>
      </c>
    </row>
    <row r="65">
      <c r="A65" s="28">
        <v>63.0</v>
      </c>
      <c r="B65" s="29" t="s">
        <v>579</v>
      </c>
      <c r="C65" s="29">
        <v>2025.0</v>
      </c>
      <c r="D65" s="21">
        <v>2.0</v>
      </c>
      <c r="E65" s="21">
        <v>2.0</v>
      </c>
      <c r="F65" s="21">
        <v>1.0</v>
      </c>
      <c r="G65" s="21">
        <v>2.0</v>
      </c>
      <c r="H65" s="21">
        <v>2.0</v>
      </c>
      <c r="I65" s="30">
        <f t="shared" si="17"/>
        <v>9</v>
      </c>
      <c r="J65" s="30" t="str">
        <f t="shared" si="18"/>
        <v>Low</v>
      </c>
      <c r="K65" s="21" t="s">
        <v>580</v>
      </c>
      <c r="L65" s="22">
        <v>1.0</v>
      </c>
      <c r="M65" s="22">
        <v>2.0</v>
      </c>
      <c r="N65" s="22">
        <v>1.0</v>
      </c>
      <c r="O65" s="22">
        <v>2.0</v>
      </c>
      <c r="P65" s="22">
        <v>2.0</v>
      </c>
      <c r="Q65" s="31">
        <f t="shared" si="19"/>
        <v>8</v>
      </c>
      <c r="R65" s="31" t="str">
        <f t="shared" si="20"/>
        <v>Low</v>
      </c>
      <c r="S65" s="22" t="s">
        <v>581</v>
      </c>
      <c r="T65" s="23">
        <v>2.0</v>
      </c>
      <c r="U65" s="23">
        <v>0.0</v>
      </c>
      <c r="V65" s="23">
        <v>2.0</v>
      </c>
      <c r="W65" s="23">
        <v>2.0</v>
      </c>
      <c r="X65" s="23">
        <v>2.0</v>
      </c>
      <c r="Y65" s="32">
        <f t="shared" si="21"/>
        <v>8</v>
      </c>
      <c r="Z65" s="32" t="str">
        <f t="shared" si="22"/>
        <v>Low</v>
      </c>
      <c r="AA65" s="23" t="s">
        <v>582</v>
      </c>
      <c r="AB65" s="24">
        <v>2.0</v>
      </c>
      <c r="AC65" s="24">
        <v>2.0</v>
      </c>
      <c r="AD65" s="24">
        <v>1.0</v>
      </c>
      <c r="AE65" s="24">
        <v>1.0</v>
      </c>
      <c r="AF65" s="24">
        <v>2.0</v>
      </c>
      <c r="AG65" s="33">
        <f t="shared" si="23"/>
        <v>8</v>
      </c>
      <c r="AH65" s="33" t="str">
        <f t="shared" si="24"/>
        <v>Low</v>
      </c>
      <c r="AI65" s="24" t="s">
        <v>583</v>
      </c>
      <c r="AJ65" s="25">
        <v>2.0</v>
      </c>
      <c r="AK65" s="25">
        <v>1.0</v>
      </c>
      <c r="AL65" s="25">
        <v>1.0</v>
      </c>
      <c r="AM65" s="25">
        <v>2.0</v>
      </c>
      <c r="AN65" s="25">
        <v>2.0</v>
      </c>
      <c r="AO65" s="34">
        <f t="shared" si="25"/>
        <v>8</v>
      </c>
      <c r="AP65" s="34" t="str">
        <f t="shared" si="26"/>
        <v>Low</v>
      </c>
      <c r="AQ65" s="25" t="s">
        <v>584</v>
      </c>
      <c r="AR65" s="26">
        <v>0.0</v>
      </c>
      <c r="AS65" s="26">
        <v>0.0</v>
      </c>
      <c r="AT65" s="26">
        <v>-2.0</v>
      </c>
      <c r="AU65" s="26">
        <v>1.0</v>
      </c>
      <c r="AV65" s="26">
        <v>1.0</v>
      </c>
      <c r="AW65" s="35">
        <f t="shared" si="27"/>
        <v>0</v>
      </c>
      <c r="AX65" s="35" t="str">
        <f t="shared" si="28"/>
        <v>Serious</v>
      </c>
      <c r="AY65" s="26" t="s">
        <v>585</v>
      </c>
      <c r="AZ65" s="27">
        <v>2.0</v>
      </c>
      <c r="BA65" s="27">
        <v>1.0</v>
      </c>
      <c r="BB65" s="27">
        <v>2.0</v>
      </c>
      <c r="BC65" s="27">
        <v>0.0</v>
      </c>
      <c r="BD65" s="27">
        <v>2.0</v>
      </c>
      <c r="BE65" s="36">
        <f t="shared" si="29"/>
        <v>7</v>
      </c>
      <c r="BF65" s="36" t="str">
        <f t="shared" si="30"/>
        <v>Moderate</v>
      </c>
      <c r="BG65" s="27" t="s">
        <v>586</v>
      </c>
      <c r="BH65" s="37">
        <f t="shared" si="31"/>
        <v>48</v>
      </c>
      <c r="BI65" s="37" t="str">
        <f t="shared" si="32"/>
        <v>Moderate</v>
      </c>
      <c r="BJ65" s="29" t="b">
        <v>0</v>
      </c>
    </row>
    <row r="66">
      <c r="A66" s="28">
        <v>64.0</v>
      </c>
      <c r="B66" s="29" t="s">
        <v>587</v>
      </c>
      <c r="C66" s="38"/>
      <c r="D66" s="21">
        <v>1.0</v>
      </c>
      <c r="E66" s="21">
        <v>2.0</v>
      </c>
      <c r="F66" s="21">
        <v>1.0</v>
      </c>
      <c r="G66" s="21">
        <v>2.0</v>
      </c>
      <c r="H66" s="21">
        <v>0.0</v>
      </c>
      <c r="I66" s="30">
        <f t="shared" si="17"/>
        <v>6</v>
      </c>
      <c r="J66" s="30" t="str">
        <f t="shared" si="18"/>
        <v>Moderate</v>
      </c>
      <c r="K66" s="21" t="s">
        <v>588</v>
      </c>
      <c r="L66" s="22">
        <v>2.0</v>
      </c>
      <c r="M66" s="22">
        <v>2.0</v>
      </c>
      <c r="N66" s="22">
        <v>0.0</v>
      </c>
      <c r="O66" s="22">
        <v>2.0</v>
      </c>
      <c r="P66" s="22">
        <v>2.0</v>
      </c>
      <c r="Q66" s="31">
        <f t="shared" si="19"/>
        <v>8</v>
      </c>
      <c r="R66" s="31" t="str">
        <f t="shared" si="20"/>
        <v>Low</v>
      </c>
      <c r="S66" s="22" t="s">
        <v>589</v>
      </c>
      <c r="T66" s="23">
        <v>2.0</v>
      </c>
      <c r="U66" s="23">
        <v>0.0</v>
      </c>
      <c r="V66" s="23">
        <v>2.0</v>
      </c>
      <c r="W66" s="23">
        <v>2.0</v>
      </c>
      <c r="X66" s="23">
        <v>2.0</v>
      </c>
      <c r="Y66" s="32">
        <f t="shared" si="21"/>
        <v>8</v>
      </c>
      <c r="Z66" s="32" t="str">
        <f t="shared" si="22"/>
        <v>Low</v>
      </c>
      <c r="AA66" s="23" t="s">
        <v>590</v>
      </c>
      <c r="AB66" s="24">
        <v>2.0</v>
      </c>
      <c r="AC66" s="24">
        <v>2.0</v>
      </c>
      <c r="AD66" s="24">
        <v>0.0</v>
      </c>
      <c r="AE66" s="24">
        <v>0.0</v>
      </c>
      <c r="AF66" s="24">
        <v>2.0</v>
      </c>
      <c r="AG66" s="33">
        <f t="shared" si="23"/>
        <v>6</v>
      </c>
      <c r="AH66" s="33" t="str">
        <f t="shared" si="24"/>
        <v>Moderate</v>
      </c>
      <c r="AI66" s="24" t="s">
        <v>591</v>
      </c>
      <c r="AJ66" s="25">
        <v>1.0</v>
      </c>
      <c r="AK66" s="25">
        <v>2.0</v>
      </c>
      <c r="AL66" s="25">
        <v>1.0</v>
      </c>
      <c r="AM66" s="25">
        <v>2.0</v>
      </c>
      <c r="AN66" s="25">
        <v>2.0</v>
      </c>
      <c r="AO66" s="34">
        <f t="shared" si="25"/>
        <v>8</v>
      </c>
      <c r="AP66" s="34" t="str">
        <f t="shared" si="26"/>
        <v>Low</v>
      </c>
      <c r="AQ66" s="25" t="s">
        <v>592</v>
      </c>
      <c r="AR66" s="26">
        <v>0.0</v>
      </c>
      <c r="AS66" s="26">
        <v>0.0</v>
      </c>
      <c r="AT66" s="26">
        <v>0.0</v>
      </c>
      <c r="AU66" s="26">
        <v>1.0</v>
      </c>
      <c r="AV66" s="26">
        <v>0.0</v>
      </c>
      <c r="AW66" s="35">
        <f t="shared" si="27"/>
        <v>1</v>
      </c>
      <c r="AX66" s="35" t="str">
        <f t="shared" si="28"/>
        <v>Serious</v>
      </c>
      <c r="AY66" s="26" t="s">
        <v>593</v>
      </c>
      <c r="AZ66" s="27">
        <v>2.0</v>
      </c>
      <c r="BA66" s="27">
        <v>2.0</v>
      </c>
      <c r="BB66" s="27">
        <v>2.0</v>
      </c>
      <c r="BC66" s="27">
        <v>0.0</v>
      </c>
      <c r="BD66" s="27">
        <v>2.0</v>
      </c>
      <c r="BE66" s="36">
        <f t="shared" si="29"/>
        <v>8</v>
      </c>
      <c r="BF66" s="36" t="str">
        <f t="shared" si="30"/>
        <v>Low</v>
      </c>
      <c r="BG66" s="27" t="s">
        <v>594</v>
      </c>
      <c r="BH66" s="37">
        <f t="shared" si="31"/>
        <v>45</v>
      </c>
      <c r="BI66" s="37" t="str">
        <f t="shared" si="32"/>
        <v>Moderate</v>
      </c>
      <c r="BJ66" s="29" t="b">
        <v>0</v>
      </c>
    </row>
    <row r="67">
      <c r="A67" s="28">
        <v>65.0</v>
      </c>
      <c r="B67" s="29" t="s">
        <v>595</v>
      </c>
      <c r="C67" s="38"/>
      <c r="D67" s="21">
        <v>2.0</v>
      </c>
      <c r="E67" s="21">
        <v>2.0</v>
      </c>
      <c r="F67" s="21">
        <v>2.0</v>
      </c>
      <c r="G67" s="21">
        <v>2.0</v>
      </c>
      <c r="H67" s="21">
        <v>2.0</v>
      </c>
      <c r="I67" s="30">
        <f t="shared" si="17"/>
        <v>10</v>
      </c>
      <c r="J67" s="30" t="str">
        <f t="shared" si="18"/>
        <v>Low</v>
      </c>
      <c r="K67" s="21" t="s">
        <v>596</v>
      </c>
      <c r="L67" s="22">
        <v>2.0</v>
      </c>
      <c r="M67" s="22">
        <v>2.0</v>
      </c>
      <c r="N67" s="22">
        <v>0.0</v>
      </c>
      <c r="O67" s="22">
        <v>2.0</v>
      </c>
      <c r="P67" s="22">
        <v>2.0</v>
      </c>
      <c r="Q67" s="31">
        <f t="shared" si="19"/>
        <v>8</v>
      </c>
      <c r="R67" s="31" t="str">
        <f t="shared" si="20"/>
        <v>Low</v>
      </c>
      <c r="S67" s="22" t="s">
        <v>597</v>
      </c>
      <c r="T67" s="23">
        <v>2.0</v>
      </c>
      <c r="U67" s="23">
        <v>2.0</v>
      </c>
      <c r="V67" s="23">
        <v>2.0</v>
      </c>
      <c r="W67" s="23">
        <v>2.0</v>
      </c>
      <c r="X67" s="23">
        <v>2.0</v>
      </c>
      <c r="Y67" s="32">
        <f t="shared" si="21"/>
        <v>10</v>
      </c>
      <c r="Z67" s="32" t="str">
        <f t="shared" si="22"/>
        <v>Low</v>
      </c>
      <c r="AA67" s="23" t="s">
        <v>598</v>
      </c>
      <c r="AB67" s="24">
        <v>2.0</v>
      </c>
      <c r="AC67" s="24">
        <v>2.0</v>
      </c>
      <c r="AD67" s="24">
        <v>2.0</v>
      </c>
      <c r="AE67" s="24">
        <v>1.0</v>
      </c>
      <c r="AF67" s="24">
        <v>2.0</v>
      </c>
      <c r="AG67" s="33">
        <f t="shared" si="23"/>
        <v>9</v>
      </c>
      <c r="AH67" s="33" t="str">
        <f t="shared" si="24"/>
        <v>Low</v>
      </c>
      <c r="AI67" s="24" t="s">
        <v>599</v>
      </c>
      <c r="AJ67" s="25">
        <v>2.0</v>
      </c>
      <c r="AK67" s="25">
        <v>2.0</v>
      </c>
      <c r="AL67" s="25">
        <v>2.0</v>
      </c>
      <c r="AM67" s="25">
        <v>2.0</v>
      </c>
      <c r="AN67" s="25">
        <v>2.0</v>
      </c>
      <c r="AO67" s="34">
        <f t="shared" si="25"/>
        <v>10</v>
      </c>
      <c r="AP67" s="34" t="str">
        <f t="shared" si="26"/>
        <v>Low</v>
      </c>
      <c r="AQ67" s="25" t="s">
        <v>600</v>
      </c>
      <c r="AR67" s="26">
        <v>1.0</v>
      </c>
      <c r="AS67" s="26">
        <v>0.0</v>
      </c>
      <c r="AT67" s="26">
        <v>0.0</v>
      </c>
      <c r="AU67" s="26">
        <v>0.0</v>
      </c>
      <c r="AV67" s="26">
        <v>1.0</v>
      </c>
      <c r="AW67" s="35">
        <f t="shared" si="27"/>
        <v>2</v>
      </c>
      <c r="AX67" s="35" t="str">
        <f t="shared" si="28"/>
        <v>Serious</v>
      </c>
      <c r="AY67" s="26" t="s">
        <v>601</v>
      </c>
      <c r="AZ67" s="27">
        <v>2.0</v>
      </c>
      <c r="BA67" s="27">
        <v>2.0</v>
      </c>
      <c r="BB67" s="27">
        <v>2.0</v>
      </c>
      <c r="BC67" s="27">
        <v>2.0</v>
      </c>
      <c r="BD67" s="27">
        <v>2.0</v>
      </c>
      <c r="BE67" s="36">
        <f t="shared" si="29"/>
        <v>10</v>
      </c>
      <c r="BF67" s="36" t="str">
        <f t="shared" si="30"/>
        <v>Low</v>
      </c>
      <c r="BG67" s="27" t="s">
        <v>602</v>
      </c>
      <c r="BH67" s="37">
        <f t="shared" si="31"/>
        <v>59</v>
      </c>
      <c r="BI67" s="37" t="str">
        <f t="shared" si="32"/>
        <v>Low</v>
      </c>
      <c r="BJ67" s="29" t="b">
        <v>0</v>
      </c>
    </row>
    <row r="69">
      <c r="A69" s="28"/>
      <c r="B69" s="29"/>
      <c r="C69" s="29"/>
      <c r="D69" s="21"/>
      <c r="E69" s="21"/>
      <c r="F69" s="21"/>
      <c r="G69" s="21"/>
      <c r="H69" s="21"/>
      <c r="I69" s="30"/>
      <c r="J69" s="30"/>
      <c r="K69" s="21"/>
      <c r="L69" s="22"/>
      <c r="M69" s="22"/>
      <c r="N69" s="22"/>
      <c r="O69" s="22"/>
      <c r="P69" s="22"/>
      <c r="Q69" s="31"/>
      <c r="R69" s="31"/>
      <c r="S69" s="22"/>
      <c r="T69" s="23"/>
      <c r="U69" s="23"/>
      <c r="V69" s="23"/>
      <c r="W69" s="23"/>
      <c r="X69" s="23"/>
      <c r="Y69" s="32"/>
      <c r="Z69" s="32"/>
      <c r="AA69" s="23"/>
      <c r="AB69" s="24"/>
      <c r="AC69" s="24"/>
      <c r="AD69" s="24"/>
      <c r="AE69" s="24"/>
      <c r="AF69" s="24"/>
      <c r="AG69" s="33"/>
      <c r="AH69" s="33"/>
      <c r="AI69" s="24"/>
      <c r="AJ69" s="25"/>
      <c r="AK69" s="25"/>
      <c r="AL69" s="25"/>
      <c r="AM69" s="25"/>
      <c r="AN69" s="25"/>
      <c r="AO69" s="34"/>
      <c r="AP69" s="34"/>
      <c r="AQ69" s="25"/>
      <c r="AR69" s="26"/>
      <c r="AS69" s="26"/>
      <c r="AT69" s="26"/>
      <c r="AU69" s="26"/>
      <c r="AV69" s="26"/>
      <c r="AW69" s="35"/>
      <c r="AX69" s="35"/>
      <c r="AY69" s="26"/>
      <c r="AZ69" s="27"/>
      <c r="BA69" s="27"/>
      <c r="BB69" s="27"/>
      <c r="BC69" s="27"/>
      <c r="BD69" s="27"/>
      <c r="BE69" s="36"/>
      <c r="BF69" s="36"/>
      <c r="BG69" s="27"/>
      <c r="BH69" s="37"/>
      <c r="BI69" s="37"/>
      <c r="BJ69" s="29"/>
    </row>
  </sheetData>
  <mergeCells count="34">
    <mergeCell ref="A1:A2"/>
    <mergeCell ref="B1:B2"/>
    <mergeCell ref="C1:C2"/>
    <mergeCell ref="D1:H1"/>
    <mergeCell ref="I1:I2"/>
    <mergeCell ref="J1:J2"/>
    <mergeCell ref="K1:K2"/>
    <mergeCell ref="T1:X1"/>
    <mergeCell ref="AB1:AF1"/>
    <mergeCell ref="AJ1:AN1"/>
    <mergeCell ref="AR1:AV1"/>
    <mergeCell ref="AZ1:BD1"/>
    <mergeCell ref="L1:P1"/>
    <mergeCell ref="Q1:Q2"/>
    <mergeCell ref="R1:R2"/>
    <mergeCell ref="S1:S2"/>
    <mergeCell ref="Y1:Y2"/>
    <mergeCell ref="Z1:Z2"/>
    <mergeCell ref="AA1:AA2"/>
    <mergeCell ref="AX1:AX2"/>
    <mergeCell ref="AY1:AY2"/>
    <mergeCell ref="BE1:BE2"/>
    <mergeCell ref="BF1:BF2"/>
    <mergeCell ref="BG1:BG2"/>
    <mergeCell ref="BH1:BH2"/>
    <mergeCell ref="BI1:BI2"/>
    <mergeCell ref="BJ1:BJ2"/>
    <mergeCell ref="AG1:AG2"/>
    <mergeCell ref="AH1:AH2"/>
    <mergeCell ref="AI1:AI2"/>
    <mergeCell ref="AO1:AO2"/>
    <mergeCell ref="AP1:AP2"/>
    <mergeCell ref="AQ1:AQ2"/>
    <mergeCell ref="AW1:AW2"/>
  </mergeCells>
  <dataValidations>
    <dataValidation type="list" allowBlank="1" showErrorMessage="1" sqref="AZ15:BD15 AZ19:BD19 AZ30:BD31 AZ36:BD36 AZ46:BD46 AZ53:BD53 AZ60:BD60 AZ62:BD62 AZ65:BD65 D3:H67 L3:P67 T3:X67 AB3:AF67 AJ3:AN67 AR3:AV67 D69:H69 L69:P69 T69:X69 AB69:AF69 AJ69:AN69 AR69:AV69 AZ69:BD69">
      <formula1>"2,1,0,-1,-2"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603</v>
      </c>
      <c r="B1" s="48" t="s">
        <v>604</v>
      </c>
      <c r="C1" s="48" t="s">
        <v>605</v>
      </c>
      <c r="D1" s="49" t="s">
        <v>606</v>
      </c>
      <c r="E1" s="49" t="s">
        <v>607</v>
      </c>
      <c r="F1" s="48" t="s">
        <v>608</v>
      </c>
      <c r="G1" s="48" t="s">
        <v>609</v>
      </c>
      <c r="H1" s="48" t="s">
        <v>610</v>
      </c>
      <c r="I1" s="48" t="s">
        <v>611</v>
      </c>
      <c r="J1" s="48"/>
      <c r="K1" s="48"/>
      <c r="L1" s="48"/>
      <c r="M1" s="48"/>
      <c r="N1" s="48"/>
      <c r="O1" s="48"/>
      <c r="P1" s="48"/>
      <c r="Q1" s="48"/>
      <c r="R1" s="48"/>
      <c r="S1" s="48"/>
      <c r="T1" s="48"/>
      <c r="U1" s="48"/>
      <c r="V1" s="48"/>
      <c r="W1" s="48"/>
      <c r="X1" s="48"/>
      <c r="Y1" s="48"/>
      <c r="Z1" s="48"/>
      <c r="AA1" s="48"/>
      <c r="AB1" s="48"/>
    </row>
    <row r="2">
      <c r="A2" s="48" t="s">
        <v>521</v>
      </c>
      <c r="B2" s="48">
        <f>COUNTIF(data_extraction!J$3:J$67,"Low")</f>
        <v>58</v>
      </c>
      <c r="C2" s="48">
        <f>COUNTIF(data_extraction!R$3:R$67,"Low")</f>
        <v>38</v>
      </c>
      <c r="D2" s="48">
        <f>COUNTIF(data_extraction!Z$3:Z$67,"Low")</f>
        <v>58</v>
      </c>
      <c r="E2" s="48">
        <f>COUNTIF(data_extraction!AH$3:AH$67,"Low")</f>
        <v>37</v>
      </c>
      <c r="F2" s="48">
        <f>COUNTIF(data_extraction!AP3:AP$67,"Low")</f>
        <v>62</v>
      </c>
      <c r="G2" s="48">
        <f>COUNTIF(data_extraction!AX$3:AX$67,"Low")</f>
        <v>3</v>
      </c>
      <c r="H2" s="48">
        <f>COUNTIF(data_extraction!BF$3:BF$67,"Low")</f>
        <v>60</v>
      </c>
      <c r="I2" s="48">
        <f>COUNTIF(data_extraction!BI$3:BI$67,"Low")</f>
        <v>29</v>
      </c>
      <c r="J2" s="48"/>
      <c r="K2" s="48"/>
      <c r="L2" s="48"/>
      <c r="M2" s="48"/>
      <c r="N2" s="48"/>
      <c r="O2" s="48"/>
      <c r="P2" s="48"/>
      <c r="Q2" s="48"/>
      <c r="R2" s="48"/>
      <c r="S2" s="48"/>
      <c r="T2" s="48"/>
      <c r="U2" s="48"/>
      <c r="V2" s="48"/>
      <c r="W2" s="48"/>
      <c r="X2" s="48"/>
      <c r="Y2" s="48"/>
      <c r="Z2" s="48"/>
      <c r="AA2" s="48"/>
      <c r="AB2" s="48"/>
    </row>
    <row r="3">
      <c r="A3" s="49" t="s">
        <v>526</v>
      </c>
      <c r="B3" s="48">
        <f>COUNTIF(data_extraction!J$3:J$67,"Moderate")</f>
        <v>7</v>
      </c>
      <c r="C3" s="48">
        <f>COUNTIF(data_extraction!R$3:R$67,"Moderate")</f>
        <v>25</v>
      </c>
      <c r="D3" s="48">
        <f>COUNTIF(data_extraction!Z$3:Z$67,"Moderate")</f>
        <v>7</v>
      </c>
      <c r="E3" s="48">
        <f>COUNTIF(data_extraction!AH$3:AH$67,"Moderate")</f>
        <v>28</v>
      </c>
      <c r="F3" s="48">
        <f>COUNTIF(data_extraction!AP$3:AP$67,"Moderate")</f>
        <v>2</v>
      </c>
      <c r="G3" s="48">
        <f>COUNTIF(data_extraction!AX$3:AX$67,"Moderate")</f>
        <v>22</v>
      </c>
      <c r="H3" s="48">
        <f>COUNTIF(data_extraction!BF$3:BF$67,"Moderate")</f>
        <v>4</v>
      </c>
      <c r="I3" s="48">
        <f>COUNTIF(data_extraction!BI$3:BI$67,"Moderate")</f>
        <v>35</v>
      </c>
      <c r="J3" s="48"/>
      <c r="K3" s="48"/>
      <c r="L3" s="48"/>
      <c r="M3" s="48"/>
      <c r="N3" s="48"/>
      <c r="O3" s="48"/>
      <c r="P3" s="48"/>
      <c r="Q3" s="48"/>
      <c r="R3" s="48"/>
      <c r="S3" s="48"/>
      <c r="T3" s="48"/>
      <c r="U3" s="48"/>
      <c r="V3" s="48"/>
      <c r="W3" s="48"/>
      <c r="X3" s="48"/>
      <c r="Y3" s="48"/>
      <c r="Z3" s="48"/>
      <c r="AA3" s="48"/>
      <c r="AB3" s="48"/>
    </row>
    <row r="4">
      <c r="A4" s="49" t="s">
        <v>523</v>
      </c>
      <c r="B4" s="48">
        <f>COUNTIF(data_extraction!J$3:J$67,"Serious")</f>
        <v>0</v>
      </c>
      <c r="C4" s="48">
        <f>COUNTIF(data_extraction!R$3:R$67,"Serious")</f>
        <v>2</v>
      </c>
      <c r="D4" s="48">
        <f>COUNTIF(data_extraction!Y$3:Y$67,"Serious")</f>
        <v>0</v>
      </c>
      <c r="E4" s="48">
        <f>COUNTIF(data_extraction!AH$3:AH$67,"Serious")</f>
        <v>0</v>
      </c>
      <c r="F4" s="48">
        <f>COUNTIF(data_extraction!AP$3:AP$67,"Serious")</f>
        <v>1</v>
      </c>
      <c r="G4" s="50">
        <f>COUNTIF(data_extraction!AX$3:AX$67,"Serious")</f>
        <v>35</v>
      </c>
      <c r="H4" s="48">
        <f>COUNTIF(data_extraction!BF$3:BF$67,"Serious")</f>
        <v>1</v>
      </c>
      <c r="I4" s="50">
        <f>COUNTIF(data_extraction!BI$3:BI$67,"Serious")</f>
        <v>1</v>
      </c>
      <c r="J4" s="48"/>
      <c r="K4" s="48"/>
      <c r="L4" s="48"/>
      <c r="M4" s="48"/>
      <c r="N4" s="48"/>
      <c r="O4" s="48"/>
      <c r="P4" s="48"/>
      <c r="Q4" s="48"/>
      <c r="R4" s="48"/>
      <c r="S4" s="48"/>
      <c r="T4" s="48"/>
      <c r="U4" s="48"/>
      <c r="V4" s="48"/>
      <c r="W4" s="48"/>
      <c r="X4" s="48"/>
      <c r="Y4" s="48"/>
      <c r="Z4" s="48"/>
      <c r="AA4" s="48"/>
      <c r="AB4" s="48"/>
    </row>
    <row r="5">
      <c r="A5" s="49" t="s">
        <v>612</v>
      </c>
      <c r="B5" s="48">
        <f>COUNTIF(data_extraction!J$3:J$67,"Critical")</f>
        <v>0</v>
      </c>
      <c r="C5" s="48">
        <f>COUNTIF(data_extraction!R$3:R$67,"Critical")</f>
        <v>0</v>
      </c>
      <c r="D5" s="48">
        <f>COUNTIF(data_extraction!Y$3:Y$67,"Critical")</f>
        <v>0</v>
      </c>
      <c r="E5" s="48">
        <f>COUNTIF(data_extraction!AH$3:AH$67,"Critical")</f>
        <v>0</v>
      </c>
      <c r="F5" s="48">
        <f>COUNTIF(data_extraction!AP$3:AP$67,"Critical")</f>
        <v>0</v>
      </c>
      <c r="G5" s="50">
        <f>COUNTIF(data_extraction!AX$3:AX$67,"Critical")</f>
        <v>5</v>
      </c>
      <c r="H5" s="48">
        <f>COUNTIF(data_extraction!BF$3:BF$67,"Critical")</f>
        <v>0</v>
      </c>
      <c r="I5" s="48">
        <f>COUNTIF(data_extraction!BI$3:BI$67,"Critical")</f>
        <v>0</v>
      </c>
      <c r="J5" s="48"/>
      <c r="K5" s="48"/>
      <c r="L5" s="48"/>
      <c r="M5" s="48"/>
      <c r="N5" s="48"/>
      <c r="O5" s="48"/>
      <c r="P5" s="48"/>
      <c r="Q5" s="48"/>
      <c r="R5" s="48"/>
      <c r="S5" s="48"/>
      <c r="T5" s="48"/>
      <c r="U5" s="48"/>
      <c r="V5" s="48"/>
      <c r="W5" s="48"/>
      <c r="X5" s="48"/>
      <c r="Y5" s="48"/>
      <c r="Z5" s="48"/>
      <c r="AA5" s="48"/>
      <c r="AB5" s="48"/>
    </row>
    <row r="6">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1"/>
    </row>
    <row r="7">
      <c r="A7" s="51"/>
      <c r="B7" s="51"/>
      <c r="C7" s="51"/>
      <c r="D7" s="51"/>
      <c r="E7" s="51"/>
      <c r="F7" s="51"/>
      <c r="G7" s="51"/>
      <c r="H7" s="51"/>
      <c r="I7" s="51"/>
      <c r="J7" s="51"/>
      <c r="K7" s="51"/>
      <c r="L7" s="51"/>
      <c r="M7" s="51"/>
      <c r="N7" s="51"/>
      <c r="O7" s="51"/>
      <c r="P7" s="51"/>
      <c r="Q7" s="51"/>
      <c r="R7" s="51"/>
      <c r="S7" s="51"/>
      <c r="T7" s="51"/>
      <c r="U7" s="51"/>
      <c r="V7" s="51"/>
      <c r="W7" s="51"/>
      <c r="X7" s="51"/>
      <c r="Y7" s="51"/>
      <c r="Z7" s="51"/>
      <c r="AA7" s="51"/>
      <c r="AB7" s="51"/>
    </row>
    <row r="8">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1"/>
    </row>
    <row r="9">
      <c r="A9" s="48"/>
      <c r="B9" s="48"/>
      <c r="C9" s="48"/>
      <c r="D9" s="49"/>
      <c r="E9" s="49"/>
      <c r="F9" s="48"/>
      <c r="G9" s="48"/>
      <c r="H9" s="48"/>
      <c r="I9" s="48"/>
      <c r="J9" s="51"/>
      <c r="K9" s="51"/>
      <c r="L9" s="51"/>
      <c r="M9" s="51"/>
      <c r="N9" s="51"/>
      <c r="O9" s="51"/>
      <c r="P9" s="51"/>
      <c r="Q9" s="51"/>
      <c r="R9" s="51"/>
      <c r="S9" s="51"/>
      <c r="T9" s="51"/>
      <c r="U9" s="51"/>
      <c r="V9" s="51"/>
      <c r="W9" s="51"/>
      <c r="X9" s="51"/>
      <c r="Y9" s="51"/>
      <c r="Z9" s="51"/>
      <c r="AA9" s="51"/>
      <c r="AB9" s="51"/>
    </row>
    <row r="10">
      <c r="A10" s="48"/>
      <c r="B10" s="52"/>
      <c r="C10" s="52"/>
      <c r="D10" s="52"/>
      <c r="E10" s="52"/>
      <c r="F10" s="52"/>
      <c r="G10" s="52"/>
      <c r="H10" s="52"/>
      <c r="I10" s="52"/>
      <c r="J10" s="51"/>
      <c r="K10" s="51"/>
      <c r="L10" s="51"/>
      <c r="M10" s="51"/>
      <c r="N10" s="51"/>
      <c r="O10" s="51"/>
      <c r="P10" s="51"/>
      <c r="Q10" s="51"/>
      <c r="R10" s="51"/>
      <c r="S10" s="51"/>
      <c r="T10" s="51"/>
      <c r="U10" s="51"/>
      <c r="V10" s="51"/>
      <c r="W10" s="51"/>
      <c r="X10" s="51"/>
      <c r="Y10" s="51"/>
      <c r="Z10" s="51"/>
      <c r="AA10" s="51"/>
      <c r="AB10" s="51"/>
    </row>
    <row r="11">
      <c r="A11" s="49"/>
      <c r="B11" s="52"/>
      <c r="C11" s="52"/>
      <c r="D11" s="52"/>
      <c r="E11" s="52"/>
      <c r="F11" s="52"/>
      <c r="G11" s="52"/>
      <c r="H11" s="52"/>
      <c r="I11" s="52"/>
      <c r="J11" s="51"/>
      <c r="K11" s="51"/>
      <c r="L11" s="51"/>
      <c r="M11" s="51"/>
      <c r="N11" s="51"/>
      <c r="O11" s="51"/>
      <c r="P11" s="51"/>
      <c r="Q11" s="51"/>
      <c r="R11" s="51"/>
      <c r="S11" s="51"/>
      <c r="T11" s="51"/>
      <c r="U11" s="51"/>
      <c r="V11" s="51"/>
      <c r="W11" s="51"/>
      <c r="X11" s="51"/>
      <c r="Y11" s="51"/>
      <c r="Z11" s="51"/>
      <c r="AA11" s="51"/>
      <c r="AB11" s="51"/>
    </row>
    <row r="12">
      <c r="A12" s="49"/>
      <c r="B12" s="52"/>
      <c r="C12" s="52"/>
      <c r="D12" s="52"/>
      <c r="E12" s="52"/>
      <c r="F12" s="52"/>
      <c r="G12" s="52"/>
      <c r="H12" s="52"/>
      <c r="I12" s="52"/>
      <c r="J12" s="51"/>
      <c r="K12" s="51"/>
      <c r="L12" s="51"/>
      <c r="M12" s="51"/>
      <c r="N12" s="51"/>
      <c r="O12" s="51"/>
      <c r="P12" s="51"/>
      <c r="Q12" s="51"/>
      <c r="R12" s="51"/>
      <c r="S12" s="51"/>
      <c r="T12" s="51"/>
      <c r="U12" s="51"/>
      <c r="V12" s="51"/>
      <c r="W12" s="51"/>
      <c r="X12" s="51"/>
      <c r="Y12" s="51"/>
      <c r="Z12" s="51"/>
      <c r="AA12" s="51"/>
      <c r="AB12" s="51"/>
    </row>
    <row r="13">
      <c r="A13" s="49"/>
      <c r="B13" s="52"/>
      <c r="C13" s="52"/>
      <c r="D13" s="52"/>
      <c r="E13" s="52"/>
      <c r="F13" s="52"/>
      <c r="G13" s="52"/>
      <c r="H13" s="52"/>
      <c r="I13" s="52"/>
      <c r="J13" s="51"/>
      <c r="K13" s="51"/>
      <c r="L13" s="51"/>
      <c r="M13" s="51"/>
      <c r="N13" s="51"/>
      <c r="O13" s="51"/>
      <c r="P13" s="51"/>
      <c r="Q13" s="51"/>
      <c r="R13" s="51"/>
      <c r="S13" s="51"/>
      <c r="T13" s="51"/>
      <c r="U13" s="51"/>
      <c r="V13" s="51"/>
      <c r="W13" s="51"/>
      <c r="X13" s="51"/>
      <c r="Y13" s="51"/>
      <c r="Z13" s="51"/>
      <c r="AA13" s="51"/>
      <c r="AB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row>
    <row r="15">
      <c r="A15" s="51"/>
      <c r="B15" s="51"/>
      <c r="C15" s="51"/>
      <c r="D15" s="51"/>
      <c r="E15" s="51"/>
      <c r="G15" s="51"/>
      <c r="H15" s="51"/>
      <c r="I15" s="51"/>
      <c r="J15" s="51"/>
      <c r="K15" s="51"/>
      <c r="L15" s="51"/>
      <c r="M15" s="51"/>
      <c r="N15" s="51"/>
      <c r="O15" s="51"/>
      <c r="P15" s="51"/>
      <c r="Q15" s="51"/>
      <c r="R15" s="51"/>
      <c r="S15" s="51"/>
      <c r="T15" s="51"/>
      <c r="U15" s="51"/>
      <c r="V15" s="51"/>
      <c r="W15" s="51"/>
      <c r="X15" s="51"/>
      <c r="Y15" s="51"/>
      <c r="Z15" s="51"/>
      <c r="AA15" s="51"/>
      <c r="AB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row>
  </sheetData>
  <drawing r:id="rId1"/>
</worksheet>
</file>